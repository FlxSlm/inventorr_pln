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MagangP\"/>
    </mc:Choice>
  </mc:AlternateContent>
  <xr:revisionPtr revIDLastSave="0" documentId="13_ncr:1_{DF9B41F6-2A39-4EC7-9BC9-DFECF539F7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1 Desember 2025 " sheetId="23" r:id="rId1"/>
    <sheet name="23 Januari 2026" sheetId="24" r:id="rId2"/>
  </sheets>
  <definedNames>
    <definedName name="_xlnm.Print_Area" localSheetId="1">'23 Januari 2026'!$A$1:$X$54</definedName>
    <definedName name="_xlnm.Print_Area" localSheetId="0">'31 Desember 2025 '!$A$1:$X$54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4" l="1"/>
  <c r="H49" i="24"/>
  <c r="H46" i="24"/>
  <c r="C46" i="24"/>
  <c r="J43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H49" i="23"/>
  <c r="C49" i="23"/>
  <c r="H46" i="23"/>
  <c r="C46" i="23"/>
  <c r="J43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Q8" i="23"/>
  <c r="Q7" i="23"/>
</calcChain>
</file>

<file path=xl/sharedStrings.xml><?xml version="1.0" encoding="utf-8"?>
<sst xmlns="http://schemas.openxmlformats.org/spreadsheetml/2006/main" count="137" uniqueCount="69">
  <si>
    <t>FORMULIR</t>
  </si>
  <si>
    <t>DOKUMENTASI MATERIAL</t>
  </si>
  <si>
    <t>BERITA ACARA SERAH TERIMA MATERIAL</t>
  </si>
  <si>
    <t>No.</t>
  </si>
  <si>
    <t>MATERIAL</t>
  </si>
  <si>
    <t>DOKUMENTASI</t>
  </si>
  <si>
    <t>Pada hari ini,</t>
  </si>
  <si>
    <t>Hari, tgl :</t>
  </si>
  <si>
    <t xml:space="preserve">Rabu, </t>
  </si>
  <si>
    <t>31 Desember 2025</t>
  </si>
  <si>
    <t>Tempat :</t>
  </si>
  <si>
    <t>Gudang Tanggari</t>
  </si>
  <si>
    <r>
      <rPr>
        <sz val="10"/>
        <color theme="1"/>
        <rFont val="Arial"/>
        <charset val="134"/>
      </rPr>
      <t>Berdasarkan pada Surat AMS / Nota Dinas / TUG5 / Surat Permintaan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</si>
  <si>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>Nomor</t>
  </si>
  <si>
    <t xml:space="preserve">          /TUG5/LPN/XII/2025</t>
  </si>
  <si>
    <t>Kami yang bertanda tangan dibawah ini :</t>
  </si>
  <si>
    <t>1.</t>
  </si>
  <si>
    <t>Nama</t>
  </si>
  <si>
    <t>:</t>
  </si>
  <si>
    <t>STEVEN PIJOH</t>
  </si>
  <si>
    <t>Jabatan</t>
  </si>
  <si>
    <t>TL LOGISTIK</t>
  </si>
  <si>
    <t>Untuk selanjutnya disebut PIHAK PERTAMA dari</t>
  </si>
  <si>
    <t>UPT MANADO</t>
  </si>
  <si>
    <t>Rizky Pantouw</t>
  </si>
  <si>
    <t>TL HAR RING ULTG LOPANA</t>
  </si>
  <si>
    <t>Untuk selanjutnya disebut PIHAK KEDUA dari</t>
  </si>
  <si>
    <t>ULTG LOPANA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</si>
  <si>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</si>
  <si>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</si>
  <si>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</si>
  <si>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</si>
  <si>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</si>
  <si>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</si>
  <si>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</si>
  <si>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</si>
  <si>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>Wire Rope Pulling Hoist 1,6 Ton x 20 Meter</t>
  </si>
  <si>
    <t>BH</t>
  </si>
  <si>
    <t>BAIK</t>
  </si>
  <si>
    <t>Wire Rope Pulling Hoist 3.2 Ton x 20 meter</t>
  </si>
  <si>
    <t>Camelong Uk 4-22 mm 2 Ton</t>
  </si>
  <si>
    <t>BV + Sling BV 10mm 150m + Gagang Rasio 1:5</t>
  </si>
  <si>
    <t>SET</t>
  </si>
  <si>
    <t>Sling Kain 3 Ton 5 Meter</t>
  </si>
  <si>
    <t>Sling Kain 2 Ton 2 Meter</t>
  </si>
  <si>
    <t>Webbing Sling 2 Meter 1 Ton</t>
  </si>
  <si>
    <t>Tali Karmantel 16 mm x 100 meter</t>
  </si>
  <si>
    <t>Lampu Sorot LED Omega 200 W 3000K</t>
  </si>
  <si>
    <t>KRISBOW</t>
  </si>
  <si>
    <t>Kabel NYY 2x1,5 mm @100 m</t>
  </si>
  <si>
    <t>ROL</t>
  </si>
  <si>
    <t>MCB 2P 32 A</t>
  </si>
  <si>
    <t>Palu</t>
  </si>
  <si>
    <t>Sekop</t>
  </si>
  <si>
    <t>Terpal 8x10</t>
  </si>
  <si>
    <t>PIHAK PERTAMA telah menyerahkan kepada PIHAK KEDUA dan PIHAK KEDUA telah menerima dari PIHAK PERTAMA.</t>
  </si>
  <si>
    <t>Demikian Berita Acara ini dibuat dengan sesungguhnya untuk dipergunakan sebagaimana mestinya.</t>
  </si>
  <si>
    <t xml:space="preserve">Manado, </t>
  </si>
  <si>
    <t>PIHAK PERTAMA</t>
  </si>
  <si>
    <t>PIHAK KEDUA</t>
  </si>
  <si>
    <t>Mengetahui,</t>
  </si>
  <si>
    <t>AsMan Konstruksi</t>
  </si>
  <si>
    <t>MICHAEL</t>
  </si>
  <si>
    <t xml:space="preserve">Jumat, </t>
  </si>
  <si>
    <t>23 Januari 2026</t>
  </si>
  <si>
    <r>
      <rPr>
        <sz val="10"/>
        <color theme="1"/>
        <rFont val="Arial"/>
        <charset val="134"/>
      </rPr>
      <t xml:space="preserve">Berdasarkan pada Surat </t>
    </r>
    <r>
      <rPr>
        <strike/>
        <sz val="10"/>
        <color theme="1"/>
        <rFont val="Arial"/>
        <charset val="134"/>
      </rPr>
      <t xml:space="preserve">AMS / Nota Dinas </t>
    </r>
    <r>
      <rPr>
        <sz val="10"/>
        <color theme="1"/>
        <rFont val="Arial"/>
        <charset val="134"/>
      </rPr>
      <t xml:space="preserve">/ TUG5 </t>
    </r>
    <r>
      <rPr>
        <strike/>
        <sz val="10"/>
        <color theme="1"/>
        <rFont val="Arial"/>
        <charset val="134"/>
      </rPr>
      <t>/ Surat Permintaa</t>
    </r>
    <r>
      <rPr>
        <sz val="10"/>
        <color theme="1"/>
        <rFont val="Arial"/>
        <charset val="134"/>
      </rPr>
      <t>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</si>
  <si>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 xml:space="preserve">      001    /TUG5/LPN/I/2026</t>
  </si>
  <si>
    <t>Darimana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</si>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</sst>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sz val="10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</font>
    <font>
      <sz val="9"/>
      <color theme="1"/>
      <name val="Calibri"/>
      <charset val="134"/>
    </font>
    <font>
      <b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name val="Calibri"/>
      <charset val="134"/>
      <scheme val="minor"/>
    </font>
    <font>
      <b/>
      <i/>
      <sz val="8"/>
      <color theme="1"/>
      <name val="Arial"/>
      <charset val="134"/>
    </font>
    <font>
      <strike/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/>
    <xf numFmtId="0" fontId="19" fillId="0" borderId="0" xfId="0" applyFont="1"/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9" fillId="3" borderId="0" xfId="0" applyFont="1" applyFill="1"/>
    <xf numFmtId="0" fontId="21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9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4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3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2" fillId="3" borderId="3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0" xfId="0" applyFont="1" applyAlignment="1">
      <alignment wrapText="1"/>
    </xf>
    <xf numFmtId="0" fontId="11" fillId="3" borderId="3" xfId="0" applyFont="1" applyFill="1" applyBorder="1"/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</xdr:colOff>
      <xdr:row>6</xdr:row>
      <xdr:rowOff>88900</xdr:rowOff>
    </xdr:from>
    <xdr:to>
      <xdr:col>22</xdr:col>
      <xdr:colOff>361950</xdr:colOff>
      <xdr:row>18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5" y="1450975"/>
          <a:ext cx="257175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47625</xdr:colOff>
      <xdr:row>19</xdr:row>
      <xdr:rowOff>104775</xdr:rowOff>
    </xdr:from>
    <xdr:to>
      <xdr:col>22</xdr:col>
      <xdr:colOff>361950</xdr:colOff>
      <xdr:row>33</xdr:row>
      <xdr:rowOff>60325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4700" y="3854450"/>
          <a:ext cx="256222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19050</xdr:colOff>
      <xdr:row>34</xdr:row>
      <xdr:rowOff>85725</xdr:rowOff>
    </xdr:from>
    <xdr:to>
      <xdr:col>22</xdr:col>
      <xdr:colOff>409575</xdr:colOff>
      <xdr:row>43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6794500"/>
          <a:ext cx="2638425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514350</xdr:colOff>
      <xdr:row>20</xdr:row>
      <xdr:rowOff>152400</xdr:rowOff>
    </xdr:from>
    <xdr:to>
      <xdr:col>18</xdr:col>
      <xdr:colOff>57150</xdr:colOff>
      <xdr:row>34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4092575"/>
          <a:ext cx="2438400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5"/>
  <sheetViews>
    <sheetView showGridLines="0" view="pageBreakPreview" topLeftCell="A18" zoomScaleNormal="100" workbookViewId="0">
      <selection activeCell="K17" sqref="K17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55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"/>
      <c r="O4" s="1"/>
      <c r="P4" s="55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"/>
    </row>
    <row r="5" spans="1:29" ht="22.8">
      <c r="A5" s="1"/>
      <c r="B5" s="55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"/>
      <c r="O5" s="1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56" t="str">
        <f t="shared" ref="Q7:Q20" si="0">C23</f>
        <v>Wire Rope Pulling Hoist 1,6 Ton x 20 Meter</v>
      </c>
      <c r="R7" s="56"/>
      <c r="S7" s="56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8</v>
      </c>
      <c r="E8" s="5" t="s">
        <v>9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56" t="str">
        <f t="shared" si="0"/>
        <v>Wire Rope Pulling Hoist 3.2 Ton x 20 meter</v>
      </c>
      <c r="R8" s="56"/>
      <c r="S8" s="56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56" t="str">
        <f t="shared" si="0"/>
        <v>Camelong Uk 4-22 mm 2 Ton</v>
      </c>
      <c r="R9" s="56"/>
      <c r="S9" s="56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12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56" t="str">
        <f t="shared" si="0"/>
        <v>BV + Sling BV 10mm 150m + Gagang Rasio 1:5</v>
      </c>
      <c r="R10" s="56"/>
      <c r="S10" s="56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14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56" t="str">
        <f t="shared" si="0"/>
        <v>Sling Kain 3 Ton 5 Meter</v>
      </c>
      <c r="R11" s="56"/>
      <c r="S11" s="56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56" t="str">
        <f t="shared" si="0"/>
        <v>Sling Kain 2 Ton 2 Meter</v>
      </c>
      <c r="R12" s="56"/>
      <c r="S12" s="56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56" t="str">
        <f t="shared" si="0"/>
        <v>Webbing Sling 2 Meter 1 Ton</v>
      </c>
      <c r="R13" s="56"/>
      <c r="S13" s="56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57" t="s">
        <v>16</v>
      </c>
      <c r="C14" s="58"/>
      <c r="D14" s="5" t="s">
        <v>17</v>
      </c>
      <c r="E14" s="11" t="s">
        <v>18</v>
      </c>
      <c r="F14" s="5" t="s">
        <v>19</v>
      </c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56" t="str">
        <f t="shared" si="0"/>
        <v>Tali Karmantel 16 mm x 100 meter</v>
      </c>
      <c r="R14" s="56"/>
      <c r="S14" s="56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 t="s">
        <v>21</v>
      </c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56" t="str">
        <f t="shared" si="0"/>
        <v>Lampu Sorot LED Omega 200 W 3000K</v>
      </c>
      <c r="R15" s="56"/>
      <c r="S15" s="56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23</v>
      </c>
      <c r="I16" s="1"/>
      <c r="J16" s="1"/>
      <c r="K16" s="1"/>
      <c r="L16" s="1"/>
      <c r="M16" s="1"/>
      <c r="N16" s="1"/>
      <c r="O16" s="1"/>
      <c r="P16" s="39">
        <v>10</v>
      </c>
      <c r="Q16" s="56" t="str">
        <f t="shared" si="0"/>
        <v>Kabel NYY 2x1,5 mm @100 m</v>
      </c>
      <c r="R16" s="56"/>
      <c r="S16" s="56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59">
        <v>2</v>
      </c>
      <c r="C17" s="59"/>
      <c r="D17" s="5" t="s">
        <v>17</v>
      </c>
      <c r="E17" s="11" t="s">
        <v>18</v>
      </c>
      <c r="F17" s="5" t="s">
        <v>24</v>
      </c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56" t="str">
        <f t="shared" si="0"/>
        <v>MCB 2P 32 A</v>
      </c>
      <c r="R17" s="56"/>
      <c r="S17" s="56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 t="s">
        <v>25</v>
      </c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56" t="str">
        <f t="shared" si="0"/>
        <v>Palu</v>
      </c>
      <c r="R18" s="56"/>
      <c r="S18" s="56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27</v>
      </c>
      <c r="I19" s="1"/>
      <c r="J19" s="1"/>
      <c r="K19" s="1"/>
      <c r="L19" s="1"/>
      <c r="M19" s="1"/>
      <c r="N19" s="1"/>
      <c r="O19" s="1"/>
      <c r="P19" s="39">
        <v>13</v>
      </c>
      <c r="Q19" s="56" t="str">
        <f t="shared" si="0"/>
        <v>Sekop</v>
      </c>
      <c r="R19" s="56"/>
      <c r="S19" s="56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56" t="str">
        <f t="shared" si="0"/>
        <v>Terpal 8x10</v>
      </c>
      <c r="R20" s="56"/>
      <c r="S20" s="56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0" t="s">
        <v>28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"/>
      <c r="O21" s="1"/>
      <c r="P21" s="40"/>
      <c r="Q21" s="61"/>
      <c r="R21" s="62"/>
      <c r="S21" s="62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63" t="s">
        <v>30</v>
      </c>
      <c r="D22" s="64"/>
      <c r="E22" s="65"/>
      <c r="F22" s="19" t="s">
        <v>31</v>
      </c>
      <c r="G22" s="19" t="s">
        <v>32</v>
      </c>
      <c r="H22" s="19" t="s">
        <v>33</v>
      </c>
      <c r="I22" s="41" t="s">
        <v>34</v>
      </c>
      <c r="J22" s="66" t="s">
        <v>35</v>
      </c>
      <c r="K22" s="64"/>
      <c r="L22" s="64"/>
      <c r="M22" s="65"/>
      <c r="N22" s="1"/>
      <c r="O22" s="1"/>
      <c r="P22" s="40"/>
      <c r="Q22" s="67"/>
      <c r="R22" s="67"/>
      <c r="S22" s="67"/>
      <c r="T22" s="51"/>
      <c r="U22" s="28"/>
      <c r="V22" s="28"/>
      <c r="W22" s="52"/>
      <c r="X22" s="68"/>
      <c r="Y22" s="68"/>
      <c r="Z22" s="68"/>
      <c r="AA22" s="68"/>
      <c r="AB22" s="1"/>
    </row>
    <row r="23" spans="1:28" ht="14.4">
      <c r="A23" s="1"/>
      <c r="B23" s="20">
        <v>1</v>
      </c>
      <c r="C23" s="69" t="s">
        <v>36</v>
      </c>
      <c r="D23" s="69"/>
      <c r="E23" s="70"/>
      <c r="F23" s="21"/>
      <c r="G23" s="21"/>
      <c r="H23" s="22">
        <v>1</v>
      </c>
      <c r="I23" s="42" t="s">
        <v>37</v>
      </c>
      <c r="J23" s="71" t="s">
        <v>38</v>
      </c>
      <c r="K23" s="72"/>
      <c r="L23" s="72"/>
      <c r="M23" s="73"/>
      <c r="N23" s="1"/>
      <c r="O23" s="1"/>
      <c r="P23" s="40"/>
      <c r="Q23" s="67"/>
      <c r="R23" s="67"/>
      <c r="S23" s="67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4" t="s">
        <v>39</v>
      </c>
      <c r="D24" s="75"/>
      <c r="E24" s="76"/>
      <c r="F24" s="21"/>
      <c r="G24" s="21"/>
      <c r="H24" s="22">
        <v>1</v>
      </c>
      <c r="I24" s="42" t="s">
        <v>37</v>
      </c>
      <c r="J24" s="71" t="s">
        <v>38</v>
      </c>
      <c r="K24" s="72"/>
      <c r="L24" s="72"/>
      <c r="M24" s="73"/>
      <c r="N24" s="1"/>
      <c r="O24" s="1"/>
      <c r="P24" s="40"/>
      <c r="Q24" s="67"/>
      <c r="R24" s="67"/>
      <c r="S24" s="67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77" t="s">
        <v>40</v>
      </c>
      <c r="D25" s="78"/>
      <c r="E25" s="79"/>
      <c r="F25" s="21"/>
      <c r="G25" s="21"/>
      <c r="H25" s="22">
        <v>2</v>
      </c>
      <c r="I25" s="42" t="s">
        <v>37</v>
      </c>
      <c r="J25" s="71" t="s">
        <v>38</v>
      </c>
      <c r="K25" s="72"/>
      <c r="L25" s="72"/>
      <c r="M25" s="73"/>
      <c r="N25" s="1"/>
      <c r="O25" s="1"/>
      <c r="P25" s="40"/>
      <c r="Q25" s="67"/>
      <c r="R25" s="67"/>
      <c r="S25" s="67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80" t="s">
        <v>41</v>
      </c>
      <c r="D26" s="81"/>
      <c r="E26" s="82"/>
      <c r="F26" s="21"/>
      <c r="G26" s="21"/>
      <c r="H26" s="22">
        <v>1</v>
      </c>
      <c r="I26" s="42" t="s">
        <v>42</v>
      </c>
      <c r="J26" s="71" t="s">
        <v>38</v>
      </c>
      <c r="K26" s="72"/>
      <c r="L26" s="72"/>
      <c r="M26" s="73"/>
      <c r="N26" s="1"/>
      <c r="O26" s="1"/>
      <c r="P26" s="40"/>
      <c r="Q26" s="83"/>
      <c r="R26" s="83"/>
      <c r="S26" s="83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77" t="s">
        <v>43</v>
      </c>
      <c r="D27" s="78"/>
      <c r="E27" s="79"/>
      <c r="F27" s="21"/>
      <c r="G27" s="21"/>
      <c r="H27" s="22">
        <v>2</v>
      </c>
      <c r="I27" s="42" t="s">
        <v>37</v>
      </c>
      <c r="J27" s="71" t="s">
        <v>38</v>
      </c>
      <c r="K27" s="72"/>
      <c r="L27" s="72"/>
      <c r="M27" s="73"/>
      <c r="N27" s="1"/>
      <c r="O27" s="1"/>
      <c r="P27" s="40"/>
      <c r="Q27" s="83"/>
      <c r="R27" s="83"/>
      <c r="S27" s="83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77" t="s">
        <v>44</v>
      </c>
      <c r="D28" s="78"/>
      <c r="E28" s="79"/>
      <c r="F28" s="21"/>
      <c r="G28" s="21"/>
      <c r="H28" s="22">
        <v>2</v>
      </c>
      <c r="I28" s="42" t="s">
        <v>37</v>
      </c>
      <c r="J28" s="71" t="s">
        <v>38</v>
      </c>
      <c r="K28" s="72"/>
      <c r="L28" s="72"/>
      <c r="M28" s="73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77" t="s">
        <v>45</v>
      </c>
      <c r="D29" s="78"/>
      <c r="E29" s="79"/>
      <c r="F29" s="21"/>
      <c r="G29" s="21"/>
      <c r="H29" s="22">
        <v>3</v>
      </c>
      <c r="I29" s="42" t="s">
        <v>37</v>
      </c>
      <c r="J29" s="71" t="s">
        <v>38</v>
      </c>
      <c r="K29" s="72"/>
      <c r="L29" s="72"/>
      <c r="M29" s="73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77" t="s">
        <v>46</v>
      </c>
      <c r="D30" s="78"/>
      <c r="E30" s="79"/>
      <c r="F30" s="21"/>
      <c r="G30" s="21"/>
      <c r="H30" s="22">
        <v>1</v>
      </c>
      <c r="I30" s="42" t="s">
        <v>37</v>
      </c>
      <c r="J30" s="71" t="s">
        <v>38</v>
      </c>
      <c r="K30" s="72"/>
      <c r="L30" s="72"/>
      <c r="M30" s="73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 t="s">
        <v>47</v>
      </c>
      <c r="D31" s="25"/>
      <c r="E31" s="26"/>
      <c r="F31" s="21" t="s">
        <v>48</v>
      </c>
      <c r="G31" s="21"/>
      <c r="H31" s="22">
        <v>9</v>
      </c>
      <c r="I31" s="42" t="s">
        <v>37</v>
      </c>
      <c r="J31" s="71" t="s">
        <v>38</v>
      </c>
      <c r="K31" s="72"/>
      <c r="L31" s="72"/>
      <c r="M31" s="73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 t="s">
        <v>49</v>
      </c>
      <c r="D32" s="25"/>
      <c r="E32" s="26"/>
      <c r="F32" s="21"/>
      <c r="G32" s="21"/>
      <c r="H32" s="22">
        <v>3</v>
      </c>
      <c r="I32" s="42" t="s">
        <v>50</v>
      </c>
      <c r="J32" s="71" t="s">
        <v>38</v>
      </c>
      <c r="K32" s="72"/>
      <c r="L32" s="72"/>
      <c r="M32" s="73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 t="s">
        <v>51</v>
      </c>
      <c r="D33" s="25"/>
      <c r="E33" s="26"/>
      <c r="F33" s="21"/>
      <c r="G33" s="21"/>
      <c r="H33" s="22">
        <v>2</v>
      </c>
      <c r="I33" s="42" t="s">
        <v>37</v>
      </c>
      <c r="J33" s="71" t="s">
        <v>38</v>
      </c>
      <c r="K33" s="72"/>
      <c r="L33" s="72"/>
      <c r="M33" s="73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 t="s">
        <v>52</v>
      </c>
      <c r="D34" s="25"/>
      <c r="E34" s="26"/>
      <c r="F34" s="21"/>
      <c r="G34" s="21"/>
      <c r="H34" s="22">
        <v>2</v>
      </c>
      <c r="I34" s="42" t="s">
        <v>37</v>
      </c>
      <c r="J34" s="71" t="s">
        <v>38</v>
      </c>
      <c r="K34" s="72"/>
      <c r="L34" s="72"/>
      <c r="M34" s="73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 t="s">
        <v>53</v>
      </c>
      <c r="D35" s="25"/>
      <c r="E35" s="26"/>
      <c r="F35" s="21"/>
      <c r="G35" s="21"/>
      <c r="H35" s="22">
        <v>3</v>
      </c>
      <c r="I35" s="42" t="s">
        <v>37</v>
      </c>
      <c r="J35" s="71" t="s">
        <v>38</v>
      </c>
      <c r="K35" s="72"/>
      <c r="L35" s="72"/>
      <c r="M35" s="73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 t="s">
        <v>54</v>
      </c>
      <c r="D36" s="25"/>
      <c r="E36" s="26"/>
      <c r="F36" s="21"/>
      <c r="G36" s="21"/>
      <c r="H36" s="22">
        <v>6</v>
      </c>
      <c r="I36" s="42" t="s">
        <v>37</v>
      </c>
      <c r="J36" s="71" t="s">
        <v>38</v>
      </c>
      <c r="K36" s="72"/>
      <c r="L36" s="72"/>
      <c r="M36" s="73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84"/>
      <c r="D37" s="78"/>
      <c r="E37" s="79"/>
      <c r="F37" s="21"/>
      <c r="G37" s="21"/>
      <c r="H37" s="22"/>
      <c r="I37" s="43"/>
      <c r="J37" s="85"/>
      <c r="K37" s="78"/>
      <c r="L37" s="78"/>
      <c r="M37" s="79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88" t="s">
        <v>55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0" t="s">
        <v>56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31 Desember 2025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86" t="s">
        <v>58</v>
      </c>
      <c r="D45" s="86"/>
      <c r="E45" s="86"/>
      <c r="F45" s="12"/>
      <c r="G45" s="12"/>
      <c r="H45" s="87" t="s">
        <v>59</v>
      </c>
      <c r="I45" s="87"/>
      <c r="J45" s="87"/>
      <c r="K45" s="87"/>
      <c r="L45" s="87"/>
      <c r="M45" s="87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86" t="str">
        <f>F15</f>
        <v>TL LOGISTIK</v>
      </c>
      <c r="D46" s="86"/>
      <c r="E46" s="86"/>
      <c r="F46" s="12"/>
      <c r="G46" s="12"/>
      <c r="H46" s="86" t="str">
        <f>F18</f>
        <v>TL HAR RING ULTG LOPANA</v>
      </c>
      <c r="I46" s="86"/>
      <c r="J46" s="86"/>
      <c r="K46" s="86"/>
      <c r="L46" s="86"/>
      <c r="M46" s="86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86" t="str">
        <f>F14</f>
        <v>STEVEN PIJOH</v>
      </c>
      <c r="D49" s="86"/>
      <c r="E49" s="86"/>
      <c r="F49" s="12"/>
      <c r="G49" s="12"/>
      <c r="H49" s="87" t="str">
        <f>F17</f>
        <v>Rizky Pantouw</v>
      </c>
      <c r="I49" s="87"/>
      <c r="J49" s="87"/>
      <c r="K49" s="87"/>
      <c r="L49" s="87"/>
      <c r="M49" s="87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86" t="s">
        <v>60</v>
      </c>
      <c r="G50" s="86"/>
      <c r="H50" s="86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87" t="s">
        <v>61</v>
      </c>
      <c r="G51" s="87"/>
      <c r="H51" s="87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87" t="s">
        <v>62</v>
      </c>
      <c r="G54" s="87"/>
      <c r="H54" s="87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F51:H51"/>
    <mergeCell ref="F54:H54"/>
    <mergeCell ref="B39:M40"/>
    <mergeCell ref="C46:E46"/>
    <mergeCell ref="H46:M46"/>
    <mergeCell ref="C49:E49"/>
    <mergeCell ref="H49:M49"/>
    <mergeCell ref="F50:H50"/>
    <mergeCell ref="C37:E37"/>
    <mergeCell ref="J37:M37"/>
    <mergeCell ref="B41:M41"/>
    <mergeCell ref="C45:E45"/>
    <mergeCell ref="H45:M45"/>
    <mergeCell ref="J32:M32"/>
    <mergeCell ref="J33:M33"/>
    <mergeCell ref="J34:M34"/>
    <mergeCell ref="J35:M35"/>
    <mergeCell ref="J36:M36"/>
    <mergeCell ref="C29:E29"/>
    <mergeCell ref="J29:M29"/>
    <mergeCell ref="C30:E30"/>
    <mergeCell ref="J30:M30"/>
    <mergeCell ref="J31:M31"/>
    <mergeCell ref="C27:E27"/>
    <mergeCell ref="J27:M27"/>
    <mergeCell ref="Q27:S27"/>
    <mergeCell ref="C28:E28"/>
    <mergeCell ref="J28:M28"/>
    <mergeCell ref="C25:E25"/>
    <mergeCell ref="J25:M25"/>
    <mergeCell ref="Q25:S25"/>
    <mergeCell ref="C26:E26"/>
    <mergeCell ref="J26:M26"/>
    <mergeCell ref="Q26:S26"/>
    <mergeCell ref="X22:AA22"/>
    <mergeCell ref="C23:E23"/>
    <mergeCell ref="J23:M23"/>
    <mergeCell ref="Q23:S23"/>
    <mergeCell ref="C24:E24"/>
    <mergeCell ref="J24:M24"/>
    <mergeCell ref="Q24:S24"/>
    <mergeCell ref="B21:M21"/>
    <mergeCell ref="Q21:S21"/>
    <mergeCell ref="C22:E22"/>
    <mergeCell ref="J22:M22"/>
    <mergeCell ref="Q22:S22"/>
    <mergeCell ref="B17:C17"/>
    <mergeCell ref="Q17:S17"/>
    <mergeCell ref="Q18:S18"/>
    <mergeCell ref="Q19:S19"/>
    <mergeCell ref="Q20:S20"/>
    <mergeCell ref="Q13:S13"/>
    <mergeCell ref="B14:C14"/>
    <mergeCell ref="Q14:S14"/>
    <mergeCell ref="Q15:S15"/>
    <mergeCell ref="Q16:S16"/>
    <mergeCell ref="Q8:S8"/>
    <mergeCell ref="Q9:S9"/>
    <mergeCell ref="Q10:S10"/>
    <mergeCell ref="Q11:S11"/>
    <mergeCell ref="Q12:S12"/>
    <mergeCell ref="B4:M4"/>
    <mergeCell ref="P4:AA4"/>
    <mergeCell ref="B5:M5"/>
    <mergeCell ref="P5:AA5"/>
    <mergeCell ref="Q7:S7"/>
  </mergeCells>
  <pageMargins left="0.70866141732283505" right="0.70866141732283505" top="0.74803149606299202" bottom="0.74803149606299202" header="0" footer="0"/>
  <pageSetup scale="82" orientation="portrait" r:id="rId1"/>
  <headerFooter>
    <oddFooter>&amp;LLogistik UPT Manado-2025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5"/>
  <sheetViews>
    <sheetView showGridLines="0" tabSelected="1" view="pageBreakPreview" zoomScaleNormal="100" workbookViewId="0">
      <selection activeCell="H22" sqref="H22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55" t="s">
        <v>0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"/>
      <c r="O4" s="1"/>
      <c r="P4" s="55" t="s">
        <v>1</v>
      </c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"/>
    </row>
    <row r="5" spans="1:29" ht="22.8">
      <c r="A5" s="1"/>
      <c r="B5" s="55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"/>
      <c r="O5" s="1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56">
        <f t="shared" ref="Q7:Q20" si="0">C23</f>
        <v>0</v>
      </c>
      <c r="R7" s="56"/>
      <c r="S7" s="56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63</v>
      </c>
      <c r="E8" s="5" t="s">
        <v>64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56">
        <f t="shared" si="0"/>
        <v>0</v>
      </c>
      <c r="R8" s="56"/>
      <c r="S8" s="56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56">
        <f t="shared" si="0"/>
        <v>0</v>
      </c>
      <c r="R9" s="56"/>
      <c r="S9" s="56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65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56">
        <f t="shared" si="0"/>
        <v>0</v>
      </c>
      <c r="R10" s="56"/>
      <c r="S10" s="56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66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56">
        <f t="shared" si="0"/>
        <v>0</v>
      </c>
      <c r="R11" s="56"/>
      <c r="S11" s="56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56">
        <f t="shared" si="0"/>
        <v>0</v>
      </c>
      <c r="R12" s="56"/>
      <c r="S12" s="56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56">
        <f t="shared" si="0"/>
        <v>0</v>
      </c>
      <c r="R13" s="56"/>
      <c r="S13" s="56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57" t="s">
        <v>16</v>
      </c>
      <c r="C14" s="58"/>
      <c r="D14" s="5" t="s">
        <v>17</v>
      </c>
      <c r="E14" s="11" t="s">
        <v>18</v>
      </c>
      <c r="F14" s="5"/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56">
        <f t="shared" si="0"/>
        <v>0</v>
      </c>
      <c r="R14" s="56"/>
      <c r="S14" s="56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/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56">
        <f t="shared" si="0"/>
        <v>0</v>
      </c>
      <c r="R15" s="56"/>
      <c r="S15" s="56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67</v>
      </c>
      <c r="I16" s="1"/>
      <c r="J16" s="1"/>
      <c r="K16" s="1"/>
      <c r="L16" s="1"/>
      <c r="M16" s="1"/>
      <c r="N16" s="1"/>
      <c r="O16" s="1"/>
      <c r="P16" s="39">
        <v>10</v>
      </c>
      <c r="Q16" s="56">
        <f t="shared" si="0"/>
        <v>0</v>
      </c>
      <c r="R16" s="56"/>
      <c r="S16" s="56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59">
        <v>2</v>
      </c>
      <c r="C17" s="59"/>
      <c r="D17" s="5" t="s">
        <v>17</v>
      </c>
      <c r="E17" s="11" t="s">
        <v>18</v>
      </c>
      <c r="F17" s="5"/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56">
        <f t="shared" si="0"/>
        <v>0</v>
      </c>
      <c r="R17" s="56"/>
      <c r="S17" s="56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/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56">
        <f t="shared" si="0"/>
        <v>0</v>
      </c>
      <c r="R18" s="56"/>
      <c r="S18" s="56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67</v>
      </c>
      <c r="I19" s="1"/>
      <c r="J19" s="1"/>
      <c r="K19" s="1"/>
      <c r="L19" s="1"/>
      <c r="M19" s="1"/>
      <c r="N19" s="1"/>
      <c r="O19" s="1"/>
      <c r="P19" s="39">
        <v>13</v>
      </c>
      <c r="Q19" s="56">
        <f t="shared" si="0"/>
        <v>0</v>
      </c>
      <c r="R19" s="56"/>
      <c r="S19" s="56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56">
        <f t="shared" si="0"/>
        <v>0</v>
      </c>
      <c r="R20" s="56"/>
      <c r="S20" s="56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0" t="s">
        <v>28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1"/>
      <c r="O21" s="1"/>
      <c r="P21" s="40"/>
      <c r="Q21" s="61"/>
      <c r="R21" s="62"/>
      <c r="S21" s="62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63" t="s">
        <v>30</v>
      </c>
      <c r="D22" s="64"/>
      <c r="E22" s="65"/>
      <c r="F22" s="19" t="s">
        <v>31</v>
      </c>
      <c r="G22" s="19" t="s">
        <v>32</v>
      </c>
      <c r="H22" s="19" t="s">
        <v>33</v>
      </c>
      <c r="I22" s="41" t="s">
        <v>34</v>
      </c>
      <c r="J22" s="66" t="s">
        <v>35</v>
      </c>
      <c r="K22" s="64"/>
      <c r="L22" s="64"/>
      <c r="M22" s="65"/>
      <c r="N22" s="1"/>
      <c r="O22" s="1"/>
      <c r="P22" s="40"/>
      <c r="Q22" s="67"/>
      <c r="R22" s="67"/>
      <c r="S22" s="67"/>
      <c r="T22" s="51"/>
      <c r="U22" s="28"/>
      <c r="V22" s="28"/>
      <c r="W22" s="52"/>
      <c r="X22" s="68"/>
      <c r="Y22" s="68"/>
      <c r="Z22" s="68"/>
      <c r="AA22" s="68"/>
      <c r="AB22" s="1"/>
    </row>
    <row r="23" spans="1:28" ht="14.4">
      <c r="A23" s="1"/>
      <c r="B23" s="20">
        <v>1</v>
      </c>
      <c r="C23" s="69"/>
      <c r="D23" s="69"/>
      <c r="E23" s="70"/>
      <c r="F23" s="21"/>
      <c r="G23" s="21"/>
      <c r="H23" s="22"/>
      <c r="I23" s="42"/>
      <c r="J23" s="71"/>
      <c r="K23" s="72"/>
      <c r="L23" s="72"/>
      <c r="M23" s="73"/>
      <c r="N23" s="1"/>
      <c r="O23" s="1"/>
      <c r="P23" s="40"/>
      <c r="Q23" s="67"/>
      <c r="R23" s="67"/>
      <c r="S23" s="67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4"/>
      <c r="D24" s="75"/>
      <c r="E24" s="76"/>
      <c r="F24" s="21"/>
      <c r="G24" s="21"/>
      <c r="H24" s="22"/>
      <c r="I24" s="42"/>
      <c r="J24" s="71"/>
      <c r="K24" s="72"/>
      <c r="L24" s="72"/>
      <c r="M24" s="73"/>
      <c r="N24" s="1"/>
      <c r="O24" s="1"/>
      <c r="P24" s="40"/>
      <c r="Q24" s="67"/>
      <c r="R24" s="67"/>
      <c r="S24" s="67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77"/>
      <c r="D25" s="78"/>
      <c r="E25" s="79"/>
      <c r="F25" s="21"/>
      <c r="G25" s="21"/>
      <c r="H25" s="22"/>
      <c r="I25" s="42"/>
      <c r="J25" s="71"/>
      <c r="K25" s="72"/>
      <c r="L25" s="72"/>
      <c r="M25" s="73"/>
      <c r="N25" s="1"/>
      <c r="O25" s="1"/>
      <c r="P25" s="40"/>
      <c r="Q25" s="67"/>
      <c r="R25" s="67"/>
      <c r="S25" s="67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80"/>
      <c r="D26" s="81"/>
      <c r="E26" s="82"/>
      <c r="F26" s="21"/>
      <c r="G26" s="21"/>
      <c r="H26" s="22"/>
      <c r="I26" s="42"/>
      <c r="J26" s="71"/>
      <c r="K26" s="72"/>
      <c r="L26" s="72"/>
      <c r="M26" s="73"/>
      <c r="N26" s="1"/>
      <c r="O26" s="1"/>
      <c r="P26" s="40"/>
      <c r="Q26" s="83"/>
      <c r="R26" s="83"/>
      <c r="S26" s="83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77"/>
      <c r="D27" s="78"/>
      <c r="E27" s="79"/>
      <c r="F27" s="21"/>
      <c r="G27" s="21"/>
      <c r="H27" s="22"/>
      <c r="I27" s="42"/>
      <c r="J27" s="71"/>
      <c r="K27" s="72"/>
      <c r="L27" s="72"/>
      <c r="M27" s="73"/>
      <c r="N27" s="1"/>
      <c r="O27" s="1"/>
      <c r="P27" s="40"/>
      <c r="Q27" s="83"/>
      <c r="R27" s="83"/>
      <c r="S27" s="83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77"/>
      <c r="D28" s="78"/>
      <c r="E28" s="79"/>
      <c r="F28" s="21"/>
      <c r="G28" s="21"/>
      <c r="H28" s="22"/>
      <c r="I28" s="42"/>
      <c r="J28" s="71"/>
      <c r="K28" s="72"/>
      <c r="L28" s="72"/>
      <c r="M28" s="73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77"/>
      <c r="D29" s="78"/>
      <c r="E29" s="79"/>
      <c r="F29" s="21"/>
      <c r="G29" s="21"/>
      <c r="H29" s="22"/>
      <c r="I29" s="42"/>
      <c r="J29" s="71"/>
      <c r="K29" s="72"/>
      <c r="L29" s="72"/>
      <c r="M29" s="73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77"/>
      <c r="D30" s="78"/>
      <c r="E30" s="79"/>
      <c r="F30" s="21"/>
      <c r="G30" s="21"/>
      <c r="H30" s="22"/>
      <c r="I30" s="42"/>
      <c r="J30" s="71"/>
      <c r="K30" s="72"/>
      <c r="L30" s="72"/>
      <c r="M30" s="73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/>
      <c r="D31" s="25"/>
      <c r="E31" s="26"/>
      <c r="F31" s="21"/>
      <c r="G31" s="21"/>
      <c r="H31" s="22"/>
      <c r="I31" s="42"/>
      <c r="J31" s="71"/>
      <c r="K31" s="72"/>
      <c r="L31" s="72"/>
      <c r="M31" s="73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/>
      <c r="D32" s="25"/>
      <c r="E32" s="26"/>
      <c r="F32" s="21"/>
      <c r="G32" s="21"/>
      <c r="H32" s="22"/>
      <c r="I32" s="42"/>
      <c r="J32" s="71"/>
      <c r="K32" s="72"/>
      <c r="L32" s="72"/>
      <c r="M32" s="73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/>
      <c r="D33" s="25"/>
      <c r="E33" s="26"/>
      <c r="F33" s="21"/>
      <c r="G33" s="21"/>
      <c r="H33" s="22"/>
      <c r="I33" s="42"/>
      <c r="J33" s="71"/>
      <c r="K33" s="72"/>
      <c r="L33" s="72"/>
      <c r="M33" s="73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/>
      <c r="D34" s="25"/>
      <c r="E34" s="26"/>
      <c r="F34" s="21"/>
      <c r="G34" s="21"/>
      <c r="H34" s="22"/>
      <c r="I34" s="42"/>
      <c r="J34" s="71"/>
      <c r="K34" s="72"/>
      <c r="L34" s="72"/>
      <c r="M34" s="73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/>
      <c r="D35" s="25"/>
      <c r="E35" s="26"/>
      <c r="F35" s="21"/>
      <c r="G35" s="21"/>
      <c r="H35" s="22"/>
      <c r="I35" s="42"/>
      <c r="J35" s="71"/>
      <c r="K35" s="72"/>
      <c r="L35" s="72"/>
      <c r="M35" s="73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/>
      <c r="D36" s="25"/>
      <c r="E36" s="26"/>
      <c r="F36" s="21"/>
      <c r="G36" s="21"/>
      <c r="H36" s="22"/>
      <c r="I36" s="42"/>
      <c r="J36" s="71"/>
      <c r="K36" s="72"/>
      <c r="L36" s="72"/>
      <c r="M36" s="73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84"/>
      <c r="D37" s="78"/>
      <c r="E37" s="79"/>
      <c r="F37" s="21"/>
      <c r="G37" s="21"/>
      <c r="H37" s="22"/>
      <c r="I37" s="43"/>
      <c r="J37" s="85"/>
      <c r="K37" s="78"/>
      <c r="L37" s="78"/>
      <c r="M37" s="79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88" t="s">
        <v>55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0" t="s">
        <v>56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23 Januari 2026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86" t="s">
        <v>58</v>
      </c>
      <c r="D45" s="86"/>
      <c r="E45" s="86"/>
      <c r="F45" s="12"/>
      <c r="G45" s="12"/>
      <c r="H45" s="87" t="s">
        <v>59</v>
      </c>
      <c r="I45" s="87"/>
      <c r="J45" s="87"/>
      <c r="K45" s="87"/>
      <c r="L45" s="87"/>
      <c r="M45" s="87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86">
        <f>F15</f>
        <v>0</v>
      </c>
      <c r="D46" s="86"/>
      <c r="E46" s="86"/>
      <c r="F46" s="12"/>
      <c r="G46" s="12"/>
      <c r="H46" s="86">
        <f>F18</f>
        <v>0</v>
      </c>
      <c r="I46" s="86"/>
      <c r="J46" s="86"/>
      <c r="K46" s="86"/>
      <c r="L46" s="86"/>
      <c r="M46" s="86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86">
        <f>F14</f>
        <v>0</v>
      </c>
      <c r="D49" s="86"/>
      <c r="E49" s="86"/>
      <c r="F49" s="12"/>
      <c r="G49" s="12"/>
      <c r="H49" s="87">
        <f>F17</f>
        <v>0</v>
      </c>
      <c r="I49" s="87"/>
      <c r="J49" s="87"/>
      <c r="K49" s="87"/>
      <c r="L49" s="87"/>
      <c r="M49" s="87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86" t="s">
        <v>60</v>
      </c>
      <c r="G50" s="86"/>
      <c r="H50" s="86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87" t="s">
        <v>61</v>
      </c>
      <c r="G51" s="87"/>
      <c r="H51" s="87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87" t="s">
        <v>68</v>
      </c>
      <c r="G54" s="87"/>
      <c r="H54" s="87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F51:H51"/>
    <mergeCell ref="F54:H54"/>
    <mergeCell ref="B39:M40"/>
    <mergeCell ref="C46:E46"/>
    <mergeCell ref="H46:M46"/>
    <mergeCell ref="C49:E49"/>
    <mergeCell ref="H49:M49"/>
    <mergeCell ref="F50:H50"/>
    <mergeCell ref="C37:E37"/>
    <mergeCell ref="J37:M37"/>
    <mergeCell ref="B41:M41"/>
    <mergeCell ref="C45:E45"/>
    <mergeCell ref="H45:M45"/>
    <mergeCell ref="J32:M32"/>
    <mergeCell ref="J33:M33"/>
    <mergeCell ref="J34:M34"/>
    <mergeCell ref="J35:M35"/>
    <mergeCell ref="J36:M36"/>
    <mergeCell ref="C29:E29"/>
    <mergeCell ref="J29:M29"/>
    <mergeCell ref="C30:E30"/>
    <mergeCell ref="J30:M30"/>
    <mergeCell ref="J31:M31"/>
    <mergeCell ref="C27:E27"/>
    <mergeCell ref="J27:M27"/>
    <mergeCell ref="Q27:S27"/>
    <mergeCell ref="C28:E28"/>
    <mergeCell ref="J28:M28"/>
    <mergeCell ref="C25:E25"/>
    <mergeCell ref="J25:M25"/>
    <mergeCell ref="Q25:S25"/>
    <mergeCell ref="C26:E26"/>
    <mergeCell ref="J26:M26"/>
    <mergeCell ref="Q26:S26"/>
    <mergeCell ref="X22:AA22"/>
    <mergeCell ref="C23:E23"/>
    <mergeCell ref="J23:M23"/>
    <mergeCell ref="Q23:S23"/>
    <mergeCell ref="C24:E24"/>
    <mergeCell ref="J24:M24"/>
    <mergeCell ref="Q24:S24"/>
    <mergeCell ref="B21:M21"/>
    <mergeCell ref="Q21:S21"/>
    <mergeCell ref="C22:E22"/>
    <mergeCell ref="J22:M22"/>
    <mergeCell ref="Q22:S22"/>
    <mergeCell ref="B17:C17"/>
    <mergeCell ref="Q17:S17"/>
    <mergeCell ref="Q18:S18"/>
    <mergeCell ref="Q19:S19"/>
    <mergeCell ref="Q20:S20"/>
    <mergeCell ref="Q13:S13"/>
    <mergeCell ref="B14:C14"/>
    <mergeCell ref="Q14:S14"/>
    <mergeCell ref="Q15:S15"/>
    <mergeCell ref="Q16:S16"/>
    <mergeCell ref="Q8:S8"/>
    <mergeCell ref="Q9:S9"/>
    <mergeCell ref="Q10:S10"/>
    <mergeCell ref="Q11:S11"/>
    <mergeCell ref="Q12:S12"/>
    <mergeCell ref="B4:M4"/>
    <mergeCell ref="P4:AA4"/>
    <mergeCell ref="B5:M5"/>
    <mergeCell ref="P5:AA5"/>
    <mergeCell ref="Q7:S7"/>
  </mergeCells>
  <pageMargins left="0.70833333333333304" right="0.70833333333333304" top="0.74791666666666701" bottom="0.74791666666666701" header="0" footer="0"/>
  <pageSetup scale="82" orientation="portrait" r:id="rId1"/>
  <headerFooter>
    <oddFooter>&amp;LLogistik UPT Manado-2026</oddFooter>
  </headerFooter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31 Desember 2025 </vt:lpstr>
      <vt:lpstr>23 Januari 2026</vt:lpstr>
      <vt:lpstr>'23 Januari 2026'!Print_Area</vt:lpstr>
      <vt:lpstr>'31 Desember 2025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2026-01-27T07:25:43Z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513FAE6694374999AE2637F49E4E4B5E_12</vt:lpwstr>
  </property>
  <property fmtid="{D5CDD505-2E9C-101B-9397-08002B2CF9AE}" pid="3" name="KSOProductBuildVer">
    <vt:lpwstr>1033-12.2.0.23196</vt:lpwstr>
  </property>
</Properties>
</file>