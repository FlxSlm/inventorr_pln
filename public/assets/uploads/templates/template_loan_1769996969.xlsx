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MagangP\"/>
    </mc:Choice>
  </mc:AlternateContent>
  <xr:revisionPtr revIDLastSave="0" documentId="13_ncr:1_{F6F88D63-E78E-49F7-81F6-7862360B44A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31 Desember 2025 " sheetId="23" r:id="rId1"/>
    <sheet name="23 Januari 2026" sheetId="24" r:id="rId2"/>
  </sheets>
  <definedNames>
    <definedName name="_xlnm.Print_Area" localSheetId="1">'23 Januari 2026'!$A$1:$X$54</definedName>
    <definedName name="_xlnm.Print_Area" localSheetId="0">'31 Desember 2025 '!$A$1:$X$54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9" i="24" l="1"/>
  <c r="H49" i="24"/>
  <c r="H46" i="24"/>
  <c r="C46" i="24"/>
  <c r="J43" i="24"/>
  <c r="Q20" i="24"/>
  <c r="Q19" i="24"/>
  <c r="Q18" i="24"/>
  <c r="Q17" i="24"/>
  <c r="Q16" i="24"/>
  <c r="Q15" i="24"/>
  <c r="Q14" i="24"/>
  <c r="Q13" i="24"/>
  <c r="Q12" i="24"/>
  <c r="Q11" i="24"/>
  <c r="Q10" i="24"/>
  <c r="Q9" i="24"/>
  <c r="Q8" i="24"/>
  <c r="Q7" i="24"/>
  <c r="H49" i="23"/>
  <c r="C49" i="23"/>
  <c r="H46" i="23"/>
  <c r="C46" i="23"/>
  <c r="J43" i="23"/>
  <c r="Q20" i="23"/>
  <c r="Q19" i="23"/>
  <c r="Q18" i="23"/>
  <c r="Q17" i="23"/>
  <c r="Q16" i="23"/>
  <c r="Q15" i="23"/>
  <c r="Q14" i="23"/>
  <c r="Q13" i="23"/>
  <c r="Q12" i="23"/>
  <c r="Q11" i="23"/>
  <c r="Q10" i="23"/>
  <c r="Q9" i="23"/>
  <c r="Q8" i="23"/>
  <c r="Q7" i="23"/>
</calcChain>
</file>

<file path=xl/sharedStrings.xml><?xml version="1.0" encoding="utf-8"?>
<sst xmlns="http://schemas.openxmlformats.org/spreadsheetml/2006/main" count="137" uniqueCount="69">
  <si>
    <t>FORMULIR</t>
  </si>
  <si>
    <t>DOKUMENTASI MATERIAL</t>
  </si>
  <si>
    <t>BERITA ACARA SERAH TERIMA MATERIAL</t>
  </si>
  <si>
    <t>No.</t>
  </si>
  <si>
    <t>MATERIAL</t>
  </si>
  <si>
    <t>DOKUMENTASI</t>
  </si>
  <si>
    <t>Pada hari ini,</t>
  </si>
  <si>
    <t>Hari, tgl :</t>
  </si>
  <si>
    <t xml:space="preserve">Rabu, </t>
  </si>
  <si>
    <t>31 Desember 2025</t>
  </si>
  <si>
    <t>Tempat :</t>
  </si>
  <si>
    <t>Gudang Tanggari</t>
  </si>
  <si>
    <r>
      <rPr>
        <sz val="10"/>
        <color theme="1"/>
        <rFont val="Arial"/>
        <charset val="134"/>
      </rPr>
      <t>Berdasarkan pada Surat AMS / Nota Dinas / TUG5 / Surat Permintaan ** (</t>
    </r>
    <r>
      <rPr>
        <b/>
        <i/>
        <sz val="8"/>
        <color theme="1"/>
        <rFont val="Arial"/>
        <charset val="134"/>
      </rPr>
      <t>coret yang tidak perlu</t>
    </r>
    <r>
      <rPr>
        <sz val="10"/>
        <color theme="1"/>
        <rFont val="Arial"/>
        <charset val="134"/>
      </rPr>
      <t xml:space="preserve">) </t>
    </r>
  </si>
  <si>
    <t>Nomor</t>
  </si>
  <si>
    <t xml:space="preserve">          /TUG5/LPN/XII/2025</t>
  </si>
  <si>
    <t>Kami yang bertanda tangan dibawah ini :</t>
  </si>
  <si>
    <t>1.</t>
  </si>
  <si>
    <t>Nama</t>
  </si>
  <si>
    <t>:</t>
  </si>
  <si>
    <t>STEVEN PIJOH</t>
  </si>
  <si>
    <t>Jabatan</t>
  </si>
  <si>
    <t>TL LOGISTIK</t>
  </si>
  <si>
    <t>Untuk selanjutnya disebut PIHAK PERTAMA dari</t>
  </si>
  <si>
    <t>UPT MANADO</t>
  </si>
  <si>
    <t>Rizky Pantouw</t>
  </si>
  <si>
    <t>TL HAR RING ULTG LOPANA</t>
  </si>
  <si>
    <t>Untuk selanjutnya disebut PIHAK KEDUA dari</t>
  </si>
  <si>
    <t>ULTG LOPANA</t>
  </si>
  <si>
    <t>Dengan ini  menyatakan telah mengadakan serah terima barang dengan rincian sebagai berikut:</t>
  </si>
  <si>
    <t>NO</t>
  </si>
  <si>
    <t>Nama barang</t>
  </si>
  <si>
    <t>Merek/Type</t>
  </si>
  <si>
    <t>No Seri</t>
  </si>
  <si>
    <t>Jumlah</t>
  </si>
  <si>
    <t>Satuan</t>
  </si>
  <si>
    <t>Keterangan</t>
  </si>
  <si>
    <t>Wire Rope Pulling Hoist 1,6 Ton x 20 Meter</t>
  </si>
  <si>
    <t>BH</t>
  </si>
  <si>
    <t>BAIK</t>
  </si>
  <si>
    <t>Wire Rope Pulling Hoist 3.2 Ton x 20 meter</t>
  </si>
  <si>
    <t>Camelong Uk 4-22 mm 2 Ton</t>
  </si>
  <si>
    <t>BV + Sling BV 10mm 150m + Gagang Rasio 1:5</t>
  </si>
  <si>
    <t>SET</t>
  </si>
  <si>
    <t>Sling Kain 3 Ton 5 Meter</t>
  </si>
  <si>
    <t>Sling Kain 2 Ton 2 Meter</t>
  </si>
  <si>
    <t>Webbing Sling 2 Meter 1 Ton</t>
  </si>
  <si>
    <t>Tali Karmantel 16 mm x 100 meter</t>
  </si>
  <si>
    <t>Lampu Sorot LED Omega 200 W 3000K</t>
  </si>
  <si>
    <t>KRISBOW</t>
  </si>
  <si>
    <t>Kabel NYY 2x1,5 mm @100 m</t>
  </si>
  <si>
    <t>ROL</t>
  </si>
  <si>
    <t>MCB 2P 32 A</t>
  </si>
  <si>
    <t>Palu</t>
  </si>
  <si>
    <t>Sekop</t>
  </si>
  <si>
    <t>Terpal 8x10</t>
  </si>
  <si>
    <t>PIHAK PERTAMA telah menyerahkan kepada PIHAK KEDUA dan PIHAK KEDUA telah menerima dari PIHAK PERTAMA.</t>
  </si>
  <si>
    <t>Demikian Berita Acara ini dibuat dengan sesungguhnya untuk dipergunakan sebagaimana mestinya.</t>
  </si>
  <si>
    <t xml:space="preserve">Manado, </t>
  </si>
  <si>
    <t>PIHAK PERTAMA</t>
  </si>
  <si>
    <t>PIHAK KEDUA</t>
  </si>
  <si>
    <t>Mengetahui,</t>
  </si>
  <si>
    <t>AsMan Konstruksi</t>
  </si>
  <si>
    <t>MICHAEL</t>
  </si>
  <si>
    <t xml:space="preserve">Jumat, </t>
  </si>
  <si>
    <t>23 Januari 2026</t>
  </si>
  <si>
    <r>
      <rPr>
        <sz val="10"/>
        <color theme="1"/>
        <rFont val="Arial"/>
        <charset val="134"/>
      </rPr>
      <t xml:space="preserve">Berdasarkan pada Surat </t>
    </r>
    <r>
      <rPr>
        <strike/>
        <sz val="10"/>
        <color theme="1"/>
        <rFont val="Arial"/>
        <charset val="134"/>
      </rPr>
      <t xml:space="preserve">AMS / Nota Dinas </t>
    </r>
    <r>
      <rPr>
        <sz val="10"/>
        <color theme="1"/>
        <rFont val="Arial"/>
        <charset val="134"/>
      </rPr>
      <t xml:space="preserve">/ TUG5 </t>
    </r>
    <r>
      <rPr>
        <strike/>
        <sz val="10"/>
        <color theme="1"/>
        <rFont val="Arial"/>
        <charset val="134"/>
      </rPr>
      <t>/ Surat Permintaa</t>
    </r>
    <r>
      <rPr>
        <sz val="10"/>
        <color theme="1"/>
        <rFont val="Arial"/>
        <charset val="134"/>
      </rPr>
      <t>n ** (</t>
    </r>
    <r>
      <rPr>
        <b/>
        <i/>
        <sz val="8"/>
        <color theme="1"/>
        <rFont val="Arial"/>
        <charset val="134"/>
      </rPr>
      <t>coret yang tidak perlu</t>
    </r>
    <r>
      <rPr>
        <sz val="10"/>
        <color theme="1"/>
        <rFont val="Arial"/>
        <charset val="134"/>
      </rPr>
      <t xml:space="preserve">) </t>
    </r>
  </si>
  <si>
    <t>Darimana</t>
  </si>
  <si>
    <t>NAMA</t>
  </si>
  <si>
    <t xml:space="preserve">      001    /UPT Manado/Bulan (tanda romawi)/Tahun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</si>
</sst>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8"/>
      <color theme="1"/>
      <name val="Arial"/>
      <charset val="134"/>
    </font>
    <font>
      <sz val="12"/>
      <color theme="1"/>
      <name val="Calibri"/>
      <charset val="134"/>
    </font>
    <font>
      <sz val="12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b/>
      <sz val="10"/>
      <color theme="1"/>
      <name val="Arial"/>
      <charset val="134"/>
    </font>
    <font>
      <sz val="10"/>
      <name val="Calibri"/>
      <charset val="134"/>
      <scheme val="minor"/>
    </font>
    <font>
      <b/>
      <sz val="9"/>
      <color theme="1"/>
      <name val="Arial"/>
      <charset val="134"/>
    </font>
    <font>
      <sz val="9"/>
      <color theme="1"/>
      <name val="Arial"/>
      <charset val="134"/>
    </font>
    <font>
      <sz val="9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Arial"/>
      <charset val="134"/>
    </font>
    <font>
      <b/>
      <sz val="16"/>
      <color theme="1"/>
      <name val="Arial"/>
      <charset val="134"/>
    </font>
    <font>
      <b/>
      <sz val="12"/>
      <color theme="1"/>
      <name val="Calibri"/>
      <charset val="134"/>
    </font>
    <font>
      <sz val="9"/>
      <color theme="1"/>
      <name val="Calibri"/>
      <charset val="134"/>
    </font>
    <font>
      <b/>
      <sz val="11"/>
      <color theme="1"/>
      <name val="Calibri"/>
      <charset val="134"/>
    </font>
    <font>
      <b/>
      <i/>
      <sz val="12"/>
      <color theme="1"/>
      <name val="Calibri"/>
      <charset val="134"/>
    </font>
    <font>
      <sz val="11"/>
      <name val="Calibri"/>
      <charset val="134"/>
      <scheme val="minor"/>
    </font>
    <font>
      <b/>
      <i/>
      <sz val="8"/>
      <color theme="1"/>
      <name val="Arial"/>
      <charset val="134"/>
    </font>
    <font>
      <strike/>
      <sz val="10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 applyAlignment="1">
      <alignment horizontal="left" vertical="center"/>
    </xf>
    <xf numFmtId="0" fontId="5" fillId="0" borderId="0" xfId="0" applyFont="1"/>
    <xf numFmtId="0" fontId="8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2" fillId="3" borderId="3" xfId="0" applyFont="1" applyFill="1" applyBorder="1"/>
    <xf numFmtId="0" fontId="13" fillId="0" borderId="3" xfId="0" applyFont="1" applyBorder="1"/>
    <xf numFmtId="0" fontId="13" fillId="0" borderId="4" xfId="0" applyFont="1" applyBorder="1"/>
    <xf numFmtId="0" fontId="11" fillId="0" borderId="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0" fillId="0" borderId="0" xfId="0" applyFont="1"/>
    <xf numFmtId="0" fontId="19" fillId="0" borderId="0" xfId="0" applyFont="1"/>
    <xf numFmtId="0" fontId="14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1" fillId="3" borderId="3" xfId="0" applyFont="1" applyFill="1" applyBorder="1"/>
    <xf numFmtId="0" fontId="13" fillId="0" borderId="3" xfId="0" applyFont="1" applyBorder="1"/>
    <xf numFmtId="0" fontId="13" fillId="0" borderId="4" xfId="0" applyFont="1" applyBorder="1"/>
    <xf numFmtId="0" fontId="1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2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2" fillId="3" borderId="3" xfId="0" applyFont="1" applyFill="1" applyBorder="1"/>
    <xf numFmtId="0" fontId="14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3" borderId="3" xfId="0" applyFont="1" applyFill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4" fillId="0" borderId="0" xfId="0" applyFont="1" applyAlignment="1">
      <alignment horizontal="center" vertical="center"/>
    </xf>
    <xf numFmtId="0" fontId="12" fillId="3" borderId="3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9" fillId="3" borderId="0" xfId="0" applyFont="1" applyFill="1"/>
    <xf numFmtId="0" fontId="21" fillId="0" borderId="0" xfId="0" applyFont="1"/>
    <xf numFmtId="0" fontId="9" fillId="2" borderId="2" xfId="0" applyFont="1" applyFill="1" applyBorder="1" applyAlignment="1">
      <alignment horizontal="center" vertical="center" wrapText="1"/>
    </xf>
    <xf numFmtId="0" fontId="10" fillId="0" borderId="3" xfId="0" applyFont="1" applyBorder="1"/>
    <xf numFmtId="0" fontId="10" fillId="0" borderId="4" xfId="0" applyFont="1" applyBorder="1"/>
    <xf numFmtId="0" fontId="9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0" fontId="6" fillId="0" borderId="0" xfId="0" quotePrefix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38100</xdr:colOff>
      <xdr:row>6</xdr:row>
      <xdr:rowOff>88900</xdr:rowOff>
    </xdr:from>
    <xdr:to>
      <xdr:col>22</xdr:col>
      <xdr:colOff>361950</xdr:colOff>
      <xdr:row>18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25175" y="1450975"/>
          <a:ext cx="2571750" cy="2190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47625</xdr:colOff>
      <xdr:row>19</xdr:row>
      <xdr:rowOff>104775</xdr:rowOff>
    </xdr:from>
    <xdr:to>
      <xdr:col>22</xdr:col>
      <xdr:colOff>361950</xdr:colOff>
      <xdr:row>33</xdr:row>
      <xdr:rowOff>60325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34700" y="3854450"/>
          <a:ext cx="2562225" cy="2724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19050</xdr:colOff>
      <xdr:row>34</xdr:row>
      <xdr:rowOff>85725</xdr:rowOff>
    </xdr:from>
    <xdr:to>
      <xdr:col>22</xdr:col>
      <xdr:colOff>409575</xdr:colOff>
      <xdr:row>43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6794500"/>
          <a:ext cx="2638425" cy="171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514350</xdr:colOff>
      <xdr:row>20</xdr:row>
      <xdr:rowOff>152400</xdr:rowOff>
    </xdr:from>
    <xdr:to>
      <xdr:col>18</xdr:col>
      <xdr:colOff>57150</xdr:colOff>
      <xdr:row>34</xdr:row>
      <xdr:rowOff>69850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00" y="4092575"/>
          <a:ext cx="2438400" cy="2686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95250</xdr:colOff>
      <xdr:row>0</xdr:row>
      <xdr:rowOff>28575</xdr:rowOff>
    </xdr:from>
    <xdr:to>
      <xdr:col>12</xdr:col>
      <xdr:colOff>276225</xdr:colOff>
      <xdr:row>2</xdr:row>
      <xdr:rowOff>115570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943600" y="28575"/>
          <a:ext cx="933450" cy="4679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PT PLN (PERSERO)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UIP3B SULAWESI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UPT MANADO</a:t>
          </a:r>
        </a:p>
      </xdr:txBody>
    </xdr:sp>
    <xdr:clientData/>
  </xdr:twoCellAnchor>
  <xdr:twoCellAnchor>
    <xdr:from>
      <xdr:col>21</xdr:col>
      <xdr:colOff>628650</xdr:colOff>
      <xdr:row>0</xdr:row>
      <xdr:rowOff>48895</xdr:rowOff>
    </xdr:from>
    <xdr:to>
      <xdr:col>23</xdr:col>
      <xdr:colOff>171450</xdr:colOff>
      <xdr:row>2</xdr:row>
      <xdr:rowOff>135890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982575" y="48895"/>
          <a:ext cx="933450" cy="4679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PT PLN (PERSERO)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UIP3B SULAWESI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UPT MANADO</a:t>
          </a:r>
        </a:p>
      </xdr:txBody>
    </xdr:sp>
    <xdr:clientData/>
  </xdr:twoCellAnchor>
  <xdr:twoCellAnchor editAs="oneCell">
    <xdr:from>
      <xdr:col>9</xdr:col>
      <xdr:colOff>238125</xdr:colOff>
      <xdr:row>0</xdr:row>
      <xdr:rowOff>38100</xdr:rowOff>
    </xdr:from>
    <xdr:to>
      <xdr:col>10</xdr:col>
      <xdr:colOff>139700</xdr:colOff>
      <xdr:row>2</xdr:row>
      <xdr:rowOff>31115</xdr:rowOff>
    </xdr:to>
    <xdr:pic>
      <xdr:nvPicPr>
        <xdr:cNvPr id="8" name="Picture 7" descr="Logo_PL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00" y="38100"/>
          <a:ext cx="273050" cy="374015"/>
        </a:xfrm>
        <a:prstGeom prst="rect">
          <a:avLst/>
        </a:prstGeom>
      </xdr:spPr>
    </xdr:pic>
    <xdr:clientData/>
  </xdr:twoCellAnchor>
  <xdr:twoCellAnchor editAs="oneCell">
    <xdr:from>
      <xdr:col>21</xdr:col>
      <xdr:colOff>409575</xdr:colOff>
      <xdr:row>0</xdr:row>
      <xdr:rowOff>67310</xdr:rowOff>
    </xdr:from>
    <xdr:to>
      <xdr:col>21</xdr:col>
      <xdr:colOff>682625</xdr:colOff>
      <xdr:row>2</xdr:row>
      <xdr:rowOff>60325</xdr:rowOff>
    </xdr:to>
    <xdr:pic>
      <xdr:nvPicPr>
        <xdr:cNvPr id="9" name="Picture 8" descr="Logo_PLN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63500" y="67310"/>
          <a:ext cx="273050" cy="3740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0</xdr:row>
      <xdr:rowOff>28575</xdr:rowOff>
    </xdr:from>
    <xdr:to>
      <xdr:col>12</xdr:col>
      <xdr:colOff>276225</xdr:colOff>
      <xdr:row>2</xdr:row>
      <xdr:rowOff>115570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943600" y="28575"/>
          <a:ext cx="933450" cy="4679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PT PLN (PERSERO)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UIP3B SULAWESI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UPT MANADO</a:t>
          </a:r>
        </a:p>
      </xdr:txBody>
    </xdr:sp>
    <xdr:clientData/>
  </xdr:twoCellAnchor>
  <xdr:twoCellAnchor>
    <xdr:from>
      <xdr:col>21</xdr:col>
      <xdr:colOff>628650</xdr:colOff>
      <xdr:row>0</xdr:row>
      <xdr:rowOff>48895</xdr:rowOff>
    </xdr:from>
    <xdr:to>
      <xdr:col>23</xdr:col>
      <xdr:colOff>171450</xdr:colOff>
      <xdr:row>2</xdr:row>
      <xdr:rowOff>135890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2982575" y="48895"/>
          <a:ext cx="933450" cy="4679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PT PLN (PERSERO)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UIP3B SULAWESI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UPT MANADO</a:t>
          </a:r>
        </a:p>
      </xdr:txBody>
    </xdr:sp>
    <xdr:clientData/>
  </xdr:twoCellAnchor>
  <xdr:twoCellAnchor editAs="oneCell">
    <xdr:from>
      <xdr:col>9</xdr:col>
      <xdr:colOff>238125</xdr:colOff>
      <xdr:row>0</xdr:row>
      <xdr:rowOff>38100</xdr:rowOff>
    </xdr:from>
    <xdr:to>
      <xdr:col>10</xdr:col>
      <xdr:colOff>139700</xdr:colOff>
      <xdr:row>2</xdr:row>
      <xdr:rowOff>31115</xdr:rowOff>
    </xdr:to>
    <xdr:pic>
      <xdr:nvPicPr>
        <xdr:cNvPr id="8" name="Picture 7" descr="Logo_PL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0" y="38100"/>
          <a:ext cx="273050" cy="374015"/>
        </a:xfrm>
        <a:prstGeom prst="rect">
          <a:avLst/>
        </a:prstGeom>
      </xdr:spPr>
    </xdr:pic>
    <xdr:clientData/>
  </xdr:twoCellAnchor>
  <xdr:twoCellAnchor editAs="oneCell">
    <xdr:from>
      <xdr:col>21</xdr:col>
      <xdr:colOff>409575</xdr:colOff>
      <xdr:row>0</xdr:row>
      <xdr:rowOff>67310</xdr:rowOff>
    </xdr:from>
    <xdr:to>
      <xdr:col>21</xdr:col>
      <xdr:colOff>682625</xdr:colOff>
      <xdr:row>2</xdr:row>
      <xdr:rowOff>60325</xdr:rowOff>
    </xdr:to>
    <xdr:pic>
      <xdr:nvPicPr>
        <xdr:cNvPr id="9" name="Picture 8" descr="Logo_PLN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63500" y="67310"/>
          <a:ext cx="273050" cy="374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5"/>
  <sheetViews>
    <sheetView showGridLines="0" view="pageBreakPreview" topLeftCell="A18" zoomScaleNormal="100" workbookViewId="0">
      <selection activeCell="K17" sqref="K17"/>
    </sheetView>
  </sheetViews>
  <sheetFormatPr defaultColWidth="14.44140625" defaultRowHeight="15" customHeight="1"/>
  <cols>
    <col min="1" max="1" width="1" customWidth="1"/>
    <col min="2" max="2" width="4.44140625" customWidth="1"/>
    <col min="3" max="4" width="8.88671875" customWidth="1"/>
    <col min="5" max="5" width="16.109375" customWidth="1"/>
    <col min="6" max="6" width="12.5546875" customWidth="1"/>
    <col min="7" max="7" width="9.44140625" customWidth="1"/>
    <col min="8" max="8" width="11.6640625" customWidth="1"/>
    <col min="9" max="9" width="9.109375" customWidth="1"/>
    <col min="10" max="10" width="5.5546875" customWidth="1"/>
    <col min="11" max="11" width="6" customWidth="1"/>
    <col min="12" max="12" width="5.33203125" customWidth="1"/>
    <col min="13" max="13" width="5.88671875" customWidth="1"/>
    <col min="14" max="14" width="0.88671875" customWidth="1"/>
    <col min="15" max="15" width="1" customWidth="1"/>
    <col min="16" max="16" width="4.44140625" customWidth="1"/>
    <col min="17" max="17" width="34.33203125" customWidth="1"/>
    <col min="18" max="18" width="9.109375" customWidth="1"/>
    <col min="19" max="19" width="8.6640625" customWidth="1"/>
    <col min="20" max="20" width="12.5546875" customWidth="1"/>
    <col min="21" max="21" width="9.44140625" customWidth="1"/>
    <col min="22" max="22" width="11.6640625" customWidth="1"/>
    <col min="23" max="23" width="9.109375" customWidth="1"/>
    <col min="24" max="24" width="5.5546875" customWidth="1"/>
    <col min="25" max="25" width="6" customWidth="1"/>
    <col min="26" max="26" width="5.33203125" customWidth="1"/>
    <col min="27" max="27" width="5.88671875" customWidth="1"/>
    <col min="28" max="28" width="0.88671875" customWidth="1"/>
  </cols>
  <sheetData>
    <row r="1" spans="1:29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3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7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9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37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9" ht="22.8">
      <c r="A4" s="1"/>
      <c r="B4" s="88" t="s">
        <v>0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1"/>
      <c r="O4" s="1"/>
      <c r="P4" s="88" t="s">
        <v>1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1"/>
    </row>
    <row r="5" spans="1:29" ht="22.8">
      <c r="A5" s="1"/>
      <c r="B5" s="88" t="s">
        <v>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1"/>
      <c r="O5" s="1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1"/>
    </row>
    <row r="6" spans="1:29" ht="15.6">
      <c r="A6" s="1"/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8" t="s">
        <v>3</v>
      </c>
      <c r="Q6" s="38" t="s">
        <v>4</v>
      </c>
      <c r="R6" s="38"/>
      <c r="S6" s="1"/>
      <c r="T6" s="1"/>
      <c r="U6" s="49" t="s">
        <v>5</v>
      </c>
      <c r="V6" s="49"/>
      <c r="W6" s="49"/>
      <c r="X6" s="49"/>
      <c r="Y6" s="49"/>
      <c r="Z6" s="49"/>
      <c r="AA6" s="1"/>
      <c r="AB6" s="1"/>
    </row>
    <row r="7" spans="1:29" ht="13.05" customHeight="1">
      <c r="A7" s="1"/>
      <c r="B7" t="s">
        <v>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1"/>
      <c r="O7" s="1"/>
      <c r="P7" s="39">
        <v>1</v>
      </c>
      <c r="Q7" s="85" t="str">
        <f t="shared" ref="Q7:Q20" si="0">C23</f>
        <v>Wire Rope Pulling Hoist 1,6 Ton x 20 Meter</v>
      </c>
      <c r="R7" s="85"/>
      <c r="S7" s="85"/>
      <c r="T7" s="47"/>
      <c r="U7" s="4"/>
      <c r="V7" s="4"/>
      <c r="W7" s="4"/>
      <c r="X7" s="4"/>
      <c r="Y7" s="4"/>
      <c r="Z7" s="4"/>
      <c r="AA7" s="4"/>
      <c r="AB7" s="1"/>
    </row>
    <row r="8" spans="1:29" ht="13.05" customHeight="1">
      <c r="A8" s="1"/>
      <c r="B8" s="5" t="s">
        <v>7</v>
      </c>
      <c r="C8" s="6"/>
      <c r="D8" s="5" t="s">
        <v>8</v>
      </c>
      <c r="E8" s="5" t="s">
        <v>9</v>
      </c>
      <c r="F8" s="4"/>
      <c r="G8" s="4"/>
      <c r="H8" s="4"/>
      <c r="I8" s="4"/>
      <c r="J8" s="4"/>
      <c r="K8" s="4"/>
      <c r="L8" s="4"/>
      <c r="M8" s="4"/>
      <c r="N8" s="1"/>
      <c r="O8" s="1"/>
      <c r="P8" s="39">
        <v>2</v>
      </c>
      <c r="Q8" s="85" t="str">
        <f t="shared" si="0"/>
        <v>Wire Rope Pulling Hoist 3.2 Ton x 20 meter</v>
      </c>
      <c r="R8" s="85"/>
      <c r="S8" s="85"/>
      <c r="T8" s="4"/>
      <c r="U8" s="4"/>
      <c r="V8" s="4"/>
      <c r="W8" s="4"/>
      <c r="X8" s="4"/>
      <c r="Y8" s="4"/>
      <c r="Z8" s="4"/>
      <c r="AA8" s="4"/>
      <c r="AB8" s="1"/>
      <c r="AC8" s="4"/>
    </row>
    <row r="9" spans="1:29" ht="12" customHeight="1">
      <c r="A9" s="1"/>
      <c r="B9" s="5" t="s">
        <v>10</v>
      </c>
      <c r="C9" s="6"/>
      <c r="D9" s="5" t="s">
        <v>11</v>
      </c>
      <c r="E9" s="6"/>
      <c r="F9" s="7"/>
      <c r="G9" s="7"/>
      <c r="H9" s="7"/>
      <c r="I9" s="7"/>
      <c r="J9" s="7"/>
      <c r="K9" s="7"/>
      <c r="L9" s="7"/>
      <c r="M9" s="7"/>
      <c r="N9" s="1"/>
      <c r="O9" s="1"/>
      <c r="P9" s="39">
        <v>3</v>
      </c>
      <c r="Q9" s="85" t="str">
        <f t="shared" si="0"/>
        <v>Camelong Uk 4-22 mm 2 Ton</v>
      </c>
      <c r="R9" s="85"/>
      <c r="S9" s="85"/>
      <c r="T9" s="7"/>
      <c r="U9" s="7"/>
      <c r="V9" s="7"/>
      <c r="W9" s="7"/>
      <c r="X9" s="7"/>
      <c r="Y9" s="7"/>
      <c r="Z9" s="7"/>
      <c r="AA9" s="7"/>
      <c r="AB9" s="1"/>
    </row>
    <row r="10" spans="1:29" ht="14.4">
      <c r="A10" s="1"/>
      <c r="B10" s="5" t="s">
        <v>12</v>
      </c>
      <c r="C10" s="6"/>
      <c r="D10" s="5"/>
      <c r="E10" s="6"/>
      <c r="F10" s="5"/>
      <c r="G10" s="1"/>
      <c r="H10" s="1"/>
      <c r="I10" s="1"/>
      <c r="J10" s="1"/>
      <c r="K10" s="1"/>
      <c r="L10" s="1"/>
      <c r="M10" s="1"/>
      <c r="N10" s="1"/>
      <c r="O10" s="1"/>
      <c r="P10" s="39">
        <v>4</v>
      </c>
      <c r="Q10" s="85" t="str">
        <f t="shared" si="0"/>
        <v>BV + Sling BV 10mm 150m + Gagang Rasio 1:5</v>
      </c>
      <c r="R10" s="85"/>
      <c r="S10" s="85"/>
      <c r="T10" s="1"/>
      <c r="U10" s="1"/>
      <c r="V10" s="1"/>
      <c r="W10" s="1"/>
      <c r="X10" s="1"/>
      <c r="Y10" s="1"/>
      <c r="Z10" s="1"/>
      <c r="AA10" s="1"/>
      <c r="AB10" s="1"/>
    </row>
    <row r="11" spans="1:29" ht="14.4">
      <c r="A11" s="1"/>
      <c r="B11" s="5" t="s">
        <v>13</v>
      </c>
      <c r="C11" s="8"/>
      <c r="D11" s="5" t="s">
        <v>14</v>
      </c>
      <c r="E11" s="9"/>
      <c r="F11" s="5"/>
      <c r="G11" s="1"/>
      <c r="H11" s="1"/>
      <c r="I11" s="1"/>
      <c r="J11" s="1"/>
      <c r="K11" s="1"/>
      <c r="L11" s="1"/>
      <c r="M11" s="1"/>
      <c r="N11" s="1"/>
      <c r="O11" s="1"/>
      <c r="P11" s="39">
        <v>5</v>
      </c>
      <c r="Q11" s="85" t="str">
        <f t="shared" si="0"/>
        <v>Sling Kain 3 Ton 5 Meter</v>
      </c>
      <c r="R11" s="85"/>
      <c r="S11" s="85"/>
      <c r="T11" s="1"/>
      <c r="U11" s="1"/>
      <c r="V11" s="1"/>
      <c r="W11" s="1"/>
      <c r="X11" s="1"/>
      <c r="Y11" s="1"/>
      <c r="Z11" s="1"/>
      <c r="AA11" s="1"/>
      <c r="AB11" s="1"/>
    </row>
    <row r="12" spans="1:29" ht="14.4">
      <c r="A12" s="1"/>
      <c r="B12" s="8"/>
      <c r="C12" s="8"/>
      <c r="D12" s="10"/>
      <c r="E12" s="9"/>
      <c r="F12" s="5"/>
      <c r="G12" s="1"/>
      <c r="H12" s="1"/>
      <c r="I12" s="1"/>
      <c r="J12" s="1"/>
      <c r="K12" s="1"/>
      <c r="L12" s="1"/>
      <c r="M12" s="1"/>
      <c r="N12" s="1"/>
      <c r="O12" s="1"/>
      <c r="P12" s="39">
        <v>6</v>
      </c>
      <c r="Q12" s="85" t="str">
        <f t="shared" si="0"/>
        <v>Sling Kain 2 Ton 2 Meter</v>
      </c>
      <c r="R12" s="85"/>
      <c r="S12" s="85"/>
      <c r="T12" s="1"/>
      <c r="U12" s="1"/>
      <c r="V12" s="1"/>
      <c r="W12" s="1"/>
      <c r="X12" s="1"/>
      <c r="Y12" s="1"/>
      <c r="Z12" s="1"/>
      <c r="AA12" s="1"/>
      <c r="AB12" s="1"/>
    </row>
    <row r="13" spans="1:29" ht="14.4">
      <c r="A13" s="1"/>
      <c r="B13" s="10" t="s">
        <v>15</v>
      </c>
      <c r="C13" s="8"/>
      <c r="D13" s="10"/>
      <c r="E13" s="9"/>
      <c r="F13" s="5"/>
      <c r="G13" s="1"/>
      <c r="H13" s="1"/>
      <c r="I13" s="1"/>
      <c r="J13" s="1"/>
      <c r="K13" s="1"/>
      <c r="L13" s="1"/>
      <c r="M13" s="1"/>
      <c r="N13" s="1"/>
      <c r="O13" s="1"/>
      <c r="P13" s="39">
        <v>7</v>
      </c>
      <c r="Q13" s="85" t="str">
        <f t="shared" si="0"/>
        <v>Webbing Sling 2 Meter 1 Ton</v>
      </c>
      <c r="R13" s="85"/>
      <c r="S13" s="85"/>
      <c r="T13" s="1"/>
      <c r="U13" s="1"/>
      <c r="V13" s="1"/>
      <c r="W13" s="1"/>
      <c r="X13" s="1"/>
      <c r="Y13" s="1"/>
      <c r="Z13" s="1"/>
      <c r="AA13" s="1"/>
      <c r="AB13" s="1"/>
    </row>
    <row r="14" spans="1:29" ht="14.4">
      <c r="A14" s="1"/>
      <c r="B14" s="86" t="s">
        <v>16</v>
      </c>
      <c r="C14" s="87"/>
      <c r="D14" s="5" t="s">
        <v>17</v>
      </c>
      <c r="E14" s="11" t="s">
        <v>18</v>
      </c>
      <c r="F14" s="5" t="s">
        <v>19</v>
      </c>
      <c r="G14" s="12"/>
      <c r="H14" s="12"/>
      <c r="I14" s="1"/>
      <c r="J14" s="1"/>
      <c r="K14" s="1"/>
      <c r="L14" s="1"/>
      <c r="M14" s="1"/>
      <c r="N14" s="1"/>
      <c r="O14" s="1"/>
      <c r="P14" s="39">
        <v>8</v>
      </c>
      <c r="Q14" s="85" t="str">
        <f t="shared" si="0"/>
        <v>Tali Karmantel 16 mm x 100 meter</v>
      </c>
      <c r="R14" s="85"/>
      <c r="S14" s="85"/>
      <c r="T14" s="1"/>
      <c r="U14" s="1"/>
      <c r="V14" s="1"/>
      <c r="W14" s="1"/>
      <c r="X14" s="1"/>
      <c r="Y14" s="1"/>
      <c r="Z14" s="1"/>
      <c r="AA14" s="1"/>
      <c r="AB14" s="1"/>
    </row>
    <row r="15" spans="1:29" ht="14.4">
      <c r="A15" s="1"/>
      <c r="B15" s="13"/>
      <c r="C15" s="13"/>
      <c r="D15" s="5" t="s">
        <v>20</v>
      </c>
      <c r="E15" s="11" t="s">
        <v>18</v>
      </c>
      <c r="F15" s="14" t="s">
        <v>21</v>
      </c>
      <c r="G15" s="12"/>
      <c r="H15" s="12"/>
      <c r="I15" s="1"/>
      <c r="J15" s="1"/>
      <c r="K15" s="1"/>
      <c r="L15" s="1"/>
      <c r="M15" s="1"/>
      <c r="N15" s="1"/>
      <c r="O15" s="1"/>
      <c r="P15" s="39">
        <v>9</v>
      </c>
      <c r="Q15" s="85" t="str">
        <f t="shared" si="0"/>
        <v>Lampu Sorot LED Omega 200 W 3000K</v>
      </c>
      <c r="R15" s="85"/>
      <c r="S15" s="85"/>
      <c r="T15" s="1"/>
      <c r="U15" s="1"/>
      <c r="V15" s="1"/>
      <c r="W15" s="1"/>
      <c r="X15" s="1"/>
      <c r="Y15" s="1"/>
      <c r="Z15" s="1"/>
      <c r="AA15" s="1"/>
      <c r="AB15" s="1"/>
    </row>
    <row r="16" spans="1:29" ht="14.4">
      <c r="A16" s="1"/>
      <c r="B16" s="5" t="s">
        <v>22</v>
      </c>
      <c r="C16" s="5"/>
      <c r="D16" s="12"/>
      <c r="E16" s="12"/>
      <c r="F16" s="14"/>
      <c r="G16" s="12"/>
      <c r="H16" s="15" t="s">
        <v>23</v>
      </c>
      <c r="I16" s="1"/>
      <c r="J16" s="1"/>
      <c r="K16" s="1"/>
      <c r="L16" s="1"/>
      <c r="M16" s="1"/>
      <c r="N16" s="1"/>
      <c r="O16" s="1"/>
      <c r="P16" s="39">
        <v>10</v>
      </c>
      <c r="Q16" s="85" t="str">
        <f t="shared" si="0"/>
        <v>Kabel NYY 2x1,5 mm @100 m</v>
      </c>
      <c r="R16" s="85"/>
      <c r="S16" s="85"/>
      <c r="T16" s="1"/>
      <c r="U16" s="1"/>
      <c r="V16" s="50"/>
      <c r="W16" s="1"/>
      <c r="X16" s="1"/>
      <c r="Y16" s="1"/>
      <c r="Z16" s="1"/>
      <c r="AA16" s="1"/>
      <c r="AB16" s="1"/>
    </row>
    <row r="17" spans="1:28" ht="14.4">
      <c r="A17" s="1"/>
      <c r="B17" s="84">
        <v>2</v>
      </c>
      <c r="C17" s="84"/>
      <c r="D17" s="5" t="s">
        <v>17</v>
      </c>
      <c r="E17" s="11" t="s">
        <v>18</v>
      </c>
      <c r="F17" s="5" t="s">
        <v>24</v>
      </c>
      <c r="G17" s="12"/>
      <c r="H17" s="12"/>
      <c r="I17" s="1"/>
      <c r="J17" s="1"/>
      <c r="K17" s="1"/>
      <c r="L17" s="1"/>
      <c r="M17" s="1"/>
      <c r="N17" s="1"/>
      <c r="O17" s="1"/>
      <c r="P17" s="39">
        <v>11</v>
      </c>
      <c r="Q17" s="85" t="str">
        <f t="shared" si="0"/>
        <v>MCB 2P 32 A</v>
      </c>
      <c r="R17" s="85"/>
      <c r="S17" s="85"/>
      <c r="T17" s="1"/>
      <c r="U17" s="1"/>
      <c r="V17" s="1"/>
      <c r="W17" s="1"/>
      <c r="X17" s="1"/>
      <c r="Y17" s="1"/>
      <c r="Z17" s="1"/>
      <c r="AA17" s="1"/>
      <c r="AB17" s="1"/>
    </row>
    <row r="18" spans="1:28" ht="14.4">
      <c r="A18" s="1"/>
      <c r="B18" s="16"/>
      <c r="C18" s="16"/>
      <c r="D18" s="5" t="s">
        <v>20</v>
      </c>
      <c r="E18" s="11" t="s">
        <v>18</v>
      </c>
      <c r="F18" s="5" t="s">
        <v>25</v>
      </c>
      <c r="G18" s="12"/>
      <c r="H18" s="12"/>
      <c r="I18" s="1"/>
      <c r="J18" s="1"/>
      <c r="K18" s="1"/>
      <c r="L18" s="1"/>
      <c r="M18" s="1"/>
      <c r="N18" s="1"/>
      <c r="O18" s="1"/>
      <c r="P18" s="39">
        <v>12</v>
      </c>
      <c r="Q18" s="85" t="str">
        <f t="shared" si="0"/>
        <v>Palu</v>
      </c>
      <c r="R18" s="85"/>
      <c r="S18" s="85"/>
      <c r="T18" s="1"/>
      <c r="U18" s="1"/>
      <c r="V18" s="1"/>
      <c r="W18" s="1"/>
      <c r="X18" s="1"/>
      <c r="Y18" s="1"/>
      <c r="Z18" s="1"/>
      <c r="AA18" s="1"/>
      <c r="AB18" s="1"/>
    </row>
    <row r="19" spans="1:28" ht="14.4">
      <c r="A19" s="1"/>
      <c r="B19" s="5" t="s">
        <v>26</v>
      </c>
      <c r="C19" s="5"/>
      <c r="D19" s="12"/>
      <c r="E19" s="12"/>
      <c r="F19" s="12"/>
      <c r="G19" s="12"/>
      <c r="H19" s="15" t="s">
        <v>27</v>
      </c>
      <c r="I19" s="1"/>
      <c r="J19" s="1"/>
      <c r="K19" s="1"/>
      <c r="L19" s="1"/>
      <c r="M19" s="1"/>
      <c r="N19" s="1"/>
      <c r="O19" s="1"/>
      <c r="P19" s="39">
        <v>13</v>
      </c>
      <c r="Q19" s="85" t="str">
        <f t="shared" si="0"/>
        <v>Sekop</v>
      </c>
      <c r="R19" s="85"/>
      <c r="S19" s="85"/>
      <c r="T19" s="1"/>
      <c r="U19" s="1"/>
      <c r="V19" s="50"/>
      <c r="W19" s="1"/>
      <c r="X19" s="1"/>
      <c r="Y19" s="1"/>
      <c r="Z19" s="1"/>
      <c r="AA19" s="1"/>
      <c r="AB19" s="1"/>
    </row>
    <row r="20" spans="1:28">
      <c r="A20" s="1"/>
      <c r="B20" s="17"/>
      <c r="C20" s="1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9">
        <v>14</v>
      </c>
      <c r="Q20" s="85" t="str">
        <f t="shared" si="0"/>
        <v>Terpal 8x10</v>
      </c>
      <c r="R20" s="85"/>
      <c r="S20" s="85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A21" s="1"/>
      <c r="B21" s="62" t="s">
        <v>28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1"/>
      <c r="O21" s="1"/>
      <c r="P21" s="40"/>
      <c r="Q21" s="78"/>
      <c r="R21" s="79"/>
      <c r="S21" s="79"/>
      <c r="T21" s="17"/>
      <c r="U21" s="17"/>
      <c r="V21" s="17"/>
      <c r="W21" s="17"/>
      <c r="X21" s="17"/>
      <c r="Y21" s="17"/>
      <c r="Z21" s="17"/>
      <c r="AA21" s="17"/>
      <c r="AB21" s="1"/>
    </row>
    <row r="22" spans="1:28" ht="14.4">
      <c r="A22" s="1"/>
      <c r="B22" s="18" t="s">
        <v>29</v>
      </c>
      <c r="C22" s="80" t="s">
        <v>30</v>
      </c>
      <c r="D22" s="81"/>
      <c r="E22" s="82"/>
      <c r="F22" s="19" t="s">
        <v>31</v>
      </c>
      <c r="G22" s="19" t="s">
        <v>32</v>
      </c>
      <c r="H22" s="19" t="s">
        <v>33</v>
      </c>
      <c r="I22" s="41" t="s">
        <v>34</v>
      </c>
      <c r="J22" s="83" t="s">
        <v>35</v>
      </c>
      <c r="K22" s="81"/>
      <c r="L22" s="81"/>
      <c r="M22" s="82"/>
      <c r="N22" s="1"/>
      <c r="O22" s="1"/>
      <c r="P22" s="40"/>
      <c r="Q22" s="68"/>
      <c r="R22" s="68"/>
      <c r="S22" s="68"/>
      <c r="T22" s="51"/>
      <c r="U22" s="28"/>
      <c r="V22" s="28"/>
      <c r="W22" s="52"/>
      <c r="X22" s="72"/>
      <c r="Y22" s="72"/>
      <c r="Z22" s="72"/>
      <c r="AA22" s="72"/>
      <c r="AB22" s="1"/>
    </row>
    <row r="23" spans="1:28" ht="14.4">
      <c r="A23" s="1"/>
      <c r="B23" s="20">
        <v>1</v>
      </c>
      <c r="C23" s="73" t="s">
        <v>36</v>
      </c>
      <c r="D23" s="73"/>
      <c r="E23" s="74"/>
      <c r="F23" s="21"/>
      <c r="G23" s="21"/>
      <c r="H23" s="22">
        <v>1</v>
      </c>
      <c r="I23" s="42" t="s">
        <v>37</v>
      </c>
      <c r="J23" s="63" t="s">
        <v>38</v>
      </c>
      <c r="K23" s="64"/>
      <c r="L23" s="64"/>
      <c r="M23" s="65"/>
      <c r="N23" s="1"/>
      <c r="O23" s="1"/>
      <c r="P23" s="40"/>
      <c r="Q23" s="68"/>
      <c r="R23" s="68"/>
      <c r="S23" s="68"/>
      <c r="T23" s="28"/>
      <c r="U23" s="28"/>
      <c r="V23" s="28"/>
      <c r="W23" s="28"/>
      <c r="X23" s="52"/>
      <c r="Y23" s="53"/>
      <c r="Z23" s="53"/>
      <c r="AA23" s="53"/>
      <c r="AB23" s="1"/>
    </row>
    <row r="24" spans="1:28" ht="14.4">
      <c r="A24" s="1"/>
      <c r="B24" s="23">
        <v>2</v>
      </c>
      <c r="C24" s="75" t="s">
        <v>39</v>
      </c>
      <c r="D24" s="76"/>
      <c r="E24" s="77"/>
      <c r="F24" s="21"/>
      <c r="G24" s="21"/>
      <c r="H24" s="22">
        <v>1</v>
      </c>
      <c r="I24" s="42" t="s">
        <v>37</v>
      </c>
      <c r="J24" s="63" t="s">
        <v>38</v>
      </c>
      <c r="K24" s="64"/>
      <c r="L24" s="64"/>
      <c r="M24" s="65"/>
      <c r="N24" s="1"/>
      <c r="O24" s="1"/>
      <c r="P24" s="40"/>
      <c r="Q24" s="68"/>
      <c r="R24" s="68"/>
      <c r="S24" s="68"/>
      <c r="T24" s="28"/>
      <c r="U24" s="28"/>
      <c r="V24" s="28"/>
      <c r="W24" s="28"/>
      <c r="X24" s="52"/>
      <c r="Y24" s="53"/>
      <c r="Z24" s="53"/>
      <c r="AA24" s="53"/>
      <c r="AB24" s="1"/>
    </row>
    <row r="25" spans="1:28" ht="14.4">
      <c r="A25" s="1"/>
      <c r="B25" s="23">
        <v>3</v>
      </c>
      <c r="C25" s="66" t="s">
        <v>40</v>
      </c>
      <c r="D25" s="59"/>
      <c r="E25" s="60"/>
      <c r="F25" s="21"/>
      <c r="G25" s="21"/>
      <c r="H25" s="22">
        <v>2</v>
      </c>
      <c r="I25" s="42" t="s">
        <v>37</v>
      </c>
      <c r="J25" s="63" t="s">
        <v>38</v>
      </c>
      <c r="K25" s="64"/>
      <c r="L25" s="64"/>
      <c r="M25" s="65"/>
      <c r="N25" s="1"/>
      <c r="O25" s="1"/>
      <c r="P25" s="40"/>
      <c r="Q25" s="68"/>
      <c r="R25" s="68"/>
      <c r="S25" s="68"/>
      <c r="T25" s="28"/>
      <c r="U25" s="28"/>
      <c r="V25" s="28"/>
      <c r="W25" s="28"/>
      <c r="X25" s="52"/>
      <c r="Y25" s="53"/>
      <c r="Z25" s="28"/>
      <c r="AA25" s="53"/>
      <c r="AB25" s="1"/>
    </row>
    <row r="26" spans="1:28" ht="22.95" customHeight="1">
      <c r="A26" s="1"/>
      <c r="B26" s="23">
        <v>4</v>
      </c>
      <c r="C26" s="69" t="s">
        <v>41</v>
      </c>
      <c r="D26" s="70"/>
      <c r="E26" s="71"/>
      <c r="F26" s="21"/>
      <c r="G26" s="21"/>
      <c r="H26" s="22">
        <v>1</v>
      </c>
      <c r="I26" s="42" t="s">
        <v>42</v>
      </c>
      <c r="J26" s="63" t="s">
        <v>38</v>
      </c>
      <c r="K26" s="64"/>
      <c r="L26" s="64"/>
      <c r="M26" s="65"/>
      <c r="N26" s="1"/>
      <c r="O26" s="1"/>
      <c r="P26" s="40"/>
      <c r="Q26" s="67"/>
      <c r="R26" s="67"/>
      <c r="S26" s="67"/>
      <c r="T26" s="28"/>
      <c r="U26" s="28"/>
      <c r="V26" s="28"/>
      <c r="W26" s="28"/>
      <c r="X26" s="52"/>
      <c r="Y26" s="53"/>
      <c r="Z26" s="53"/>
      <c r="AA26" s="53"/>
      <c r="AB26" s="1"/>
    </row>
    <row r="27" spans="1:28" ht="14.4">
      <c r="A27" s="1"/>
      <c r="B27" s="23">
        <v>5</v>
      </c>
      <c r="C27" s="66" t="s">
        <v>43</v>
      </c>
      <c r="D27" s="59"/>
      <c r="E27" s="60"/>
      <c r="F27" s="21"/>
      <c r="G27" s="21"/>
      <c r="H27" s="22">
        <v>2</v>
      </c>
      <c r="I27" s="42" t="s">
        <v>37</v>
      </c>
      <c r="J27" s="63" t="s">
        <v>38</v>
      </c>
      <c r="K27" s="64"/>
      <c r="L27" s="64"/>
      <c r="M27" s="65"/>
      <c r="N27" s="1"/>
      <c r="O27" s="1"/>
      <c r="P27" s="40"/>
      <c r="Q27" s="67"/>
      <c r="R27" s="67"/>
      <c r="S27" s="67"/>
      <c r="T27" s="28"/>
      <c r="U27" s="28"/>
      <c r="V27" s="28"/>
      <c r="W27" s="28"/>
      <c r="X27" s="52"/>
      <c r="Y27" s="53"/>
      <c r="Z27" s="53"/>
      <c r="AA27" s="53"/>
      <c r="AB27" s="1"/>
    </row>
    <row r="28" spans="1:28" ht="14.4">
      <c r="A28" s="1"/>
      <c r="B28" s="23">
        <v>6</v>
      </c>
      <c r="C28" s="66" t="s">
        <v>44</v>
      </c>
      <c r="D28" s="59"/>
      <c r="E28" s="60"/>
      <c r="F28" s="21"/>
      <c r="G28" s="21"/>
      <c r="H28" s="22">
        <v>2</v>
      </c>
      <c r="I28" s="42" t="s">
        <v>37</v>
      </c>
      <c r="J28" s="63" t="s">
        <v>38</v>
      </c>
      <c r="K28" s="64"/>
      <c r="L28" s="64"/>
      <c r="M28" s="65"/>
      <c r="N28" s="1"/>
      <c r="O28" s="1"/>
      <c r="P28" s="40"/>
      <c r="Q28" s="29"/>
      <c r="R28" s="28"/>
      <c r="S28" s="28"/>
      <c r="T28" s="28"/>
      <c r="U28" s="28"/>
      <c r="V28" s="28"/>
      <c r="W28" s="28"/>
      <c r="X28" s="52"/>
      <c r="Y28" s="53"/>
      <c r="Z28" s="53"/>
      <c r="AA28" s="53"/>
      <c r="AB28" s="1"/>
    </row>
    <row r="29" spans="1:28" ht="14.4">
      <c r="A29" s="1"/>
      <c r="B29" s="23">
        <v>7</v>
      </c>
      <c r="C29" s="66" t="s">
        <v>45</v>
      </c>
      <c r="D29" s="59"/>
      <c r="E29" s="60"/>
      <c r="F29" s="21"/>
      <c r="G29" s="21"/>
      <c r="H29" s="22">
        <v>3</v>
      </c>
      <c r="I29" s="42" t="s">
        <v>37</v>
      </c>
      <c r="J29" s="63" t="s">
        <v>38</v>
      </c>
      <c r="K29" s="64"/>
      <c r="L29" s="64"/>
      <c r="M29" s="65"/>
      <c r="N29" s="1"/>
      <c r="O29" s="1"/>
      <c r="P29" s="40"/>
      <c r="Q29" s="29"/>
      <c r="R29" s="28"/>
      <c r="S29" s="28"/>
      <c r="T29" s="28"/>
      <c r="U29" s="28"/>
      <c r="V29" s="28"/>
      <c r="W29" s="28"/>
      <c r="X29" s="52"/>
      <c r="Y29" s="53"/>
      <c r="Z29" s="53"/>
      <c r="AA29" s="53"/>
      <c r="AB29" s="1"/>
    </row>
    <row r="30" spans="1:28" ht="14.4">
      <c r="A30" s="1"/>
      <c r="B30" s="23">
        <v>8</v>
      </c>
      <c r="C30" s="66" t="s">
        <v>46</v>
      </c>
      <c r="D30" s="59"/>
      <c r="E30" s="60"/>
      <c r="F30" s="21"/>
      <c r="G30" s="21"/>
      <c r="H30" s="22">
        <v>1</v>
      </c>
      <c r="I30" s="42" t="s">
        <v>37</v>
      </c>
      <c r="J30" s="63" t="s">
        <v>38</v>
      </c>
      <c r="K30" s="64"/>
      <c r="L30" s="64"/>
      <c r="M30" s="65"/>
      <c r="N30" s="1"/>
      <c r="O30" s="1"/>
      <c r="P30" s="40"/>
      <c r="Q30" s="29"/>
      <c r="R30" s="28"/>
      <c r="S30" s="28"/>
      <c r="T30" s="28"/>
      <c r="U30" s="28"/>
      <c r="V30" s="28"/>
      <c r="W30" s="28"/>
      <c r="X30" s="52"/>
      <c r="Y30" s="53"/>
      <c r="Z30" s="53"/>
      <c r="AA30" s="53"/>
      <c r="AB30" s="1"/>
    </row>
    <row r="31" spans="1:28" ht="14.4">
      <c r="A31" s="1"/>
      <c r="B31" s="23">
        <v>9</v>
      </c>
      <c r="C31" s="24" t="s">
        <v>47</v>
      </c>
      <c r="D31" s="25"/>
      <c r="E31" s="26"/>
      <c r="F31" s="21" t="s">
        <v>48</v>
      </c>
      <c r="G31" s="21"/>
      <c r="H31" s="22">
        <v>9</v>
      </c>
      <c r="I31" s="42" t="s">
        <v>37</v>
      </c>
      <c r="J31" s="63" t="s">
        <v>38</v>
      </c>
      <c r="K31" s="64"/>
      <c r="L31" s="64"/>
      <c r="M31" s="65"/>
      <c r="N31" s="1"/>
      <c r="O31" s="1"/>
      <c r="P31" s="40"/>
      <c r="Q31" s="29"/>
      <c r="R31" s="28"/>
      <c r="S31" s="28"/>
      <c r="T31" s="28"/>
      <c r="U31" s="28"/>
      <c r="V31" s="28"/>
      <c r="W31" s="28"/>
      <c r="X31" s="52"/>
      <c r="Y31" s="53"/>
      <c r="Z31" s="53"/>
      <c r="AA31" s="53"/>
      <c r="AB31" s="1"/>
    </row>
    <row r="32" spans="1:28" ht="14.4">
      <c r="A32" s="1"/>
      <c r="B32" s="23">
        <v>10</v>
      </c>
      <c r="C32" s="24" t="s">
        <v>49</v>
      </c>
      <c r="D32" s="25"/>
      <c r="E32" s="26"/>
      <c r="F32" s="21"/>
      <c r="G32" s="21"/>
      <c r="H32" s="22">
        <v>3</v>
      </c>
      <c r="I32" s="42" t="s">
        <v>50</v>
      </c>
      <c r="J32" s="63" t="s">
        <v>38</v>
      </c>
      <c r="K32" s="64"/>
      <c r="L32" s="64"/>
      <c r="M32" s="65"/>
      <c r="N32" s="1"/>
      <c r="O32" s="1"/>
      <c r="P32" s="40"/>
      <c r="Q32" s="29"/>
      <c r="R32" s="28"/>
      <c r="S32" s="28"/>
      <c r="T32" s="28"/>
      <c r="U32" s="28"/>
      <c r="V32" s="28"/>
      <c r="W32" s="28"/>
      <c r="X32" s="52"/>
      <c r="Y32" s="53"/>
      <c r="Z32" s="53"/>
      <c r="AA32" s="53"/>
      <c r="AB32" s="1"/>
    </row>
    <row r="33" spans="1:28" ht="14.4">
      <c r="A33" s="1"/>
      <c r="B33" s="23">
        <v>11</v>
      </c>
      <c r="C33" s="24" t="s">
        <v>51</v>
      </c>
      <c r="D33" s="25"/>
      <c r="E33" s="26"/>
      <c r="F33" s="21"/>
      <c r="G33" s="21"/>
      <c r="H33" s="22">
        <v>2</v>
      </c>
      <c r="I33" s="42" t="s">
        <v>37</v>
      </c>
      <c r="J33" s="63" t="s">
        <v>38</v>
      </c>
      <c r="K33" s="64"/>
      <c r="L33" s="64"/>
      <c r="M33" s="65"/>
      <c r="N33" s="1"/>
      <c r="O33" s="1"/>
      <c r="P33" s="40"/>
      <c r="Q33" s="29"/>
      <c r="R33" s="28"/>
      <c r="S33" s="28"/>
      <c r="T33" s="28"/>
      <c r="U33" s="28"/>
      <c r="V33" s="28"/>
      <c r="W33" s="28"/>
      <c r="X33" s="52"/>
      <c r="Y33" s="53"/>
      <c r="Z33" s="53"/>
      <c r="AA33" s="53"/>
      <c r="AB33" s="1"/>
    </row>
    <row r="34" spans="1:28" ht="14.4">
      <c r="A34" s="1"/>
      <c r="B34" s="23">
        <v>12</v>
      </c>
      <c r="C34" s="24" t="s">
        <v>52</v>
      </c>
      <c r="D34" s="25"/>
      <c r="E34" s="26"/>
      <c r="F34" s="21"/>
      <c r="G34" s="21"/>
      <c r="H34" s="22">
        <v>2</v>
      </c>
      <c r="I34" s="42" t="s">
        <v>37</v>
      </c>
      <c r="J34" s="63" t="s">
        <v>38</v>
      </c>
      <c r="K34" s="64"/>
      <c r="L34" s="64"/>
      <c r="M34" s="65"/>
      <c r="N34" s="1"/>
      <c r="O34" s="1"/>
      <c r="P34" s="40"/>
      <c r="Q34" s="29"/>
      <c r="R34" s="28"/>
      <c r="S34" s="28"/>
      <c r="T34" s="28"/>
      <c r="U34" s="28"/>
      <c r="V34" s="28"/>
      <c r="W34" s="28"/>
      <c r="X34" s="52"/>
      <c r="Y34" s="53"/>
      <c r="Z34" s="53"/>
      <c r="AA34" s="53"/>
      <c r="AB34" s="1"/>
    </row>
    <row r="35" spans="1:28" ht="14.4">
      <c r="A35" s="1"/>
      <c r="B35" s="23">
        <v>13</v>
      </c>
      <c r="C35" s="24" t="s">
        <v>53</v>
      </c>
      <c r="D35" s="25"/>
      <c r="E35" s="26"/>
      <c r="F35" s="21"/>
      <c r="G35" s="21"/>
      <c r="H35" s="22">
        <v>3</v>
      </c>
      <c r="I35" s="42" t="s">
        <v>37</v>
      </c>
      <c r="J35" s="63" t="s">
        <v>38</v>
      </c>
      <c r="K35" s="64"/>
      <c r="L35" s="64"/>
      <c r="M35" s="65"/>
      <c r="N35" s="1"/>
      <c r="O35" s="1"/>
      <c r="P35" s="40"/>
      <c r="Q35" s="29"/>
      <c r="R35" s="28"/>
      <c r="S35" s="28"/>
      <c r="T35" s="28"/>
      <c r="U35" s="28"/>
      <c r="V35" s="28"/>
      <c r="W35" s="28"/>
      <c r="X35" s="52"/>
      <c r="Y35" s="53"/>
      <c r="Z35" s="53"/>
      <c r="AA35" s="53"/>
      <c r="AB35" s="1"/>
    </row>
    <row r="36" spans="1:28" ht="14.4">
      <c r="A36" s="1"/>
      <c r="B36" s="27">
        <v>14</v>
      </c>
      <c r="C36" s="24" t="s">
        <v>54</v>
      </c>
      <c r="D36" s="25"/>
      <c r="E36" s="26"/>
      <c r="F36" s="21"/>
      <c r="G36" s="21"/>
      <c r="H36" s="22">
        <v>6</v>
      </c>
      <c r="I36" s="42" t="s">
        <v>37</v>
      </c>
      <c r="J36" s="63" t="s">
        <v>38</v>
      </c>
      <c r="K36" s="64"/>
      <c r="L36" s="64"/>
      <c r="M36" s="65"/>
      <c r="N36" s="1"/>
      <c r="O36" s="1"/>
      <c r="P36" s="40"/>
      <c r="Q36" s="29"/>
      <c r="R36" s="28"/>
      <c r="S36" s="28"/>
      <c r="T36" s="28"/>
      <c r="U36" s="28"/>
      <c r="V36" s="28"/>
      <c r="W36" s="28"/>
      <c r="X36" s="52"/>
      <c r="Y36" s="53"/>
      <c r="Z36" s="53"/>
      <c r="AA36" s="53"/>
      <c r="AB36" s="1"/>
    </row>
    <row r="37" spans="1:28" ht="14.4">
      <c r="A37" s="1"/>
      <c r="B37" s="21"/>
      <c r="C37" s="58"/>
      <c r="D37" s="59"/>
      <c r="E37" s="60"/>
      <c r="F37" s="21"/>
      <c r="G37" s="21"/>
      <c r="H37" s="22"/>
      <c r="I37" s="43"/>
      <c r="J37" s="61"/>
      <c r="K37" s="59"/>
      <c r="L37" s="59"/>
      <c r="M37" s="60"/>
      <c r="N37" s="1"/>
      <c r="O37" s="1"/>
      <c r="P37" s="40"/>
      <c r="Q37" s="29"/>
      <c r="R37" s="28"/>
      <c r="S37" s="28"/>
      <c r="T37" s="28"/>
      <c r="U37" s="28"/>
      <c r="V37" s="28"/>
      <c r="W37" s="28"/>
      <c r="X37" s="52"/>
      <c r="Y37" s="53"/>
      <c r="Z37" s="53"/>
      <c r="AA37" s="53"/>
      <c r="AB37" s="1"/>
    </row>
    <row r="38" spans="1:28" ht="15.75" customHeight="1">
      <c r="A38" s="1"/>
      <c r="B38" s="28"/>
      <c r="C38" s="29"/>
      <c r="D38" s="29"/>
      <c r="E38" s="29"/>
      <c r="F38" s="28"/>
      <c r="G38" s="28"/>
      <c r="H38" s="11"/>
      <c r="I38" s="44"/>
      <c r="J38" s="45"/>
      <c r="K38" s="45"/>
      <c r="L38" s="45"/>
      <c r="M38" s="45"/>
      <c r="N38" s="1"/>
      <c r="O38" s="1"/>
      <c r="P38" s="46"/>
      <c r="Q38" s="29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>
      <c r="A39" s="1"/>
      <c r="B39" s="56" t="s">
        <v>55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1"/>
      <c r="O39" s="1"/>
      <c r="P39" s="47"/>
      <c r="Q39" s="29"/>
      <c r="R39" s="4"/>
      <c r="S39" s="4"/>
      <c r="T39" s="4"/>
      <c r="U39" s="4"/>
      <c r="V39" s="4"/>
      <c r="W39" s="4"/>
      <c r="X39" s="4"/>
      <c r="Y39" s="4"/>
      <c r="Z39" s="4"/>
      <c r="AA39" s="4"/>
      <c r="AB39" s="1"/>
    </row>
    <row r="40" spans="1:28" ht="15.75" customHeight="1">
      <c r="A40" s="1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1"/>
      <c r="O40" s="1"/>
      <c r="P40" s="47"/>
      <c r="Q40" s="29"/>
      <c r="R40" s="4"/>
      <c r="S40" s="4"/>
      <c r="T40" s="4"/>
      <c r="U40" s="4"/>
      <c r="V40" s="4"/>
      <c r="W40" s="4"/>
      <c r="X40" s="4"/>
      <c r="Y40" s="4"/>
      <c r="Z40" s="4"/>
      <c r="AA40" s="4"/>
      <c r="AB40" s="1"/>
    </row>
    <row r="41" spans="1:28" ht="15.75" customHeight="1">
      <c r="A41" s="1"/>
      <c r="B41" s="62" t="s">
        <v>56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1"/>
      <c r="O41" s="1"/>
      <c r="P41" s="46"/>
      <c r="Q41" s="29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"/>
    </row>
    <row r="42" spans="1:28" ht="15.75" customHeight="1">
      <c r="A42" s="1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1"/>
      <c r="O42" s="1"/>
      <c r="P42" s="46"/>
      <c r="Q42" s="29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"/>
    </row>
    <row r="43" spans="1:28" ht="15.75" customHeight="1">
      <c r="A43" s="1"/>
      <c r="B43" s="30"/>
      <c r="C43" s="30"/>
      <c r="D43" s="1"/>
      <c r="E43" s="1"/>
      <c r="F43" s="1"/>
      <c r="G43" s="1"/>
      <c r="H43" s="1"/>
      <c r="I43" s="48" t="s">
        <v>57</v>
      </c>
      <c r="J43" s="48" t="str">
        <f>E8</f>
        <v>31 Desember 2025</v>
      </c>
      <c r="K43" s="1"/>
      <c r="L43" s="1"/>
      <c r="M43" s="1"/>
      <c r="N43" s="1"/>
      <c r="O43" s="1"/>
      <c r="P43" s="46"/>
      <c r="Q43" s="29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>
      <c r="A44" s="1"/>
      <c r="B44" s="31"/>
      <c r="C44" s="31"/>
      <c r="D44" s="1"/>
      <c r="E44" s="1"/>
      <c r="F44" s="1"/>
      <c r="G44" s="1"/>
      <c r="H44" s="31"/>
      <c r="I44" s="1"/>
      <c r="J44" s="1"/>
      <c r="K44" s="1"/>
      <c r="L44" s="1"/>
      <c r="M44" s="1"/>
      <c r="N44" s="1"/>
      <c r="O44" s="1"/>
      <c r="P44" s="34"/>
      <c r="Q44" s="29"/>
      <c r="R44" s="1"/>
      <c r="S44" s="1"/>
      <c r="T44" s="1"/>
      <c r="U44" s="1"/>
      <c r="V44" s="31"/>
      <c r="W44" s="1"/>
      <c r="X44" s="1"/>
      <c r="Y44" s="1"/>
      <c r="Z44" s="1"/>
      <c r="AA44" s="1"/>
      <c r="AB44" s="1"/>
    </row>
    <row r="45" spans="1:28" ht="15.75" customHeight="1">
      <c r="A45" s="1"/>
      <c r="B45" s="31"/>
      <c r="C45" s="57" t="s">
        <v>58</v>
      </c>
      <c r="D45" s="57"/>
      <c r="E45" s="57"/>
      <c r="F45" s="12"/>
      <c r="G45" s="12"/>
      <c r="H45" s="55" t="s">
        <v>59</v>
      </c>
      <c r="I45" s="55"/>
      <c r="J45" s="55"/>
      <c r="K45" s="55"/>
      <c r="L45" s="55"/>
      <c r="M45" s="55"/>
      <c r="N45" s="1"/>
      <c r="O45" s="1"/>
      <c r="P45" s="34"/>
      <c r="Q45" s="29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>
      <c r="A46" s="1"/>
      <c r="B46" s="31"/>
      <c r="C46" s="57" t="str">
        <f>F15</f>
        <v>TL LOGISTIK</v>
      </c>
      <c r="D46" s="57"/>
      <c r="E46" s="57"/>
      <c r="F46" s="12"/>
      <c r="G46" s="12"/>
      <c r="H46" s="57" t="str">
        <f>F18</f>
        <v>TL HAR RING ULTG LOPANA</v>
      </c>
      <c r="I46" s="57"/>
      <c r="J46" s="57"/>
      <c r="K46" s="57"/>
      <c r="L46" s="57"/>
      <c r="M46" s="57"/>
      <c r="N46" s="1"/>
      <c r="O46" s="1"/>
      <c r="P46" s="34"/>
      <c r="Q46" s="29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>
      <c r="A47" s="1"/>
      <c r="B47" s="31"/>
      <c r="C47" s="33"/>
      <c r="D47" s="12"/>
      <c r="E47" s="12"/>
      <c r="F47" s="12"/>
      <c r="G47" s="12"/>
      <c r="H47" s="12"/>
      <c r="I47" s="12"/>
      <c r="J47" s="12"/>
      <c r="K47" s="12"/>
      <c r="L47" s="12"/>
      <c r="M47" s="1"/>
      <c r="N47" s="1"/>
      <c r="O47" s="1"/>
      <c r="P47" s="34"/>
      <c r="Q47" s="29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>
      <c r="A48" s="1"/>
      <c r="B48" s="31"/>
      <c r="C48" s="33"/>
      <c r="D48" s="12"/>
      <c r="E48" s="12"/>
      <c r="F48" s="12"/>
      <c r="G48" s="12"/>
      <c r="H48" s="12"/>
      <c r="I48" s="12"/>
      <c r="J48" s="12"/>
      <c r="K48" s="12"/>
      <c r="L48" s="12"/>
      <c r="M48" s="1"/>
      <c r="N48" s="1"/>
      <c r="O48" s="1"/>
      <c r="P48" s="34"/>
      <c r="Q48" s="29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>
      <c r="A49" s="1"/>
      <c r="B49" s="31"/>
      <c r="C49" s="57" t="str">
        <f>F14</f>
        <v>STEVEN PIJOH</v>
      </c>
      <c r="D49" s="57"/>
      <c r="E49" s="57"/>
      <c r="F49" s="12"/>
      <c r="G49" s="12"/>
      <c r="H49" s="55" t="str">
        <f>F17</f>
        <v>Rizky Pantouw</v>
      </c>
      <c r="I49" s="55"/>
      <c r="J49" s="55"/>
      <c r="K49" s="55"/>
      <c r="L49" s="55"/>
      <c r="M49" s="55"/>
      <c r="N49" s="31"/>
      <c r="O49" s="1"/>
      <c r="P49" s="34"/>
      <c r="Q49" s="29"/>
      <c r="R49" s="1"/>
      <c r="S49" s="1"/>
      <c r="T49" s="31"/>
      <c r="U49" s="1"/>
      <c r="V49" s="1"/>
      <c r="W49" s="1"/>
      <c r="X49" s="1"/>
      <c r="Y49" s="31"/>
      <c r="Z49" s="1"/>
      <c r="AA49" s="1"/>
      <c r="AB49" s="31"/>
    </row>
    <row r="50" spans="1:28" ht="15.75" customHeight="1">
      <c r="A50" s="1"/>
      <c r="B50" s="31"/>
      <c r="C50" s="33"/>
      <c r="D50" s="12"/>
      <c r="E50" s="12"/>
      <c r="F50" s="57" t="s">
        <v>60</v>
      </c>
      <c r="G50" s="57"/>
      <c r="H50" s="57"/>
      <c r="I50" s="12"/>
      <c r="J50" s="12"/>
      <c r="K50" s="12"/>
      <c r="L50" s="12"/>
      <c r="M50" s="1"/>
      <c r="N50" s="1"/>
      <c r="O50" s="1"/>
      <c r="P50" s="34"/>
      <c r="Q50" s="29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>
      <c r="A51" s="1"/>
      <c r="B51" s="31"/>
      <c r="C51" s="33"/>
      <c r="D51" s="12"/>
      <c r="E51" s="12"/>
      <c r="F51" s="55" t="s">
        <v>61</v>
      </c>
      <c r="G51" s="55"/>
      <c r="H51" s="55"/>
      <c r="I51" s="12"/>
      <c r="J51" s="12"/>
      <c r="K51" s="12"/>
      <c r="L51" s="12"/>
      <c r="M51" s="1"/>
      <c r="N51" s="1"/>
      <c r="O51" s="1"/>
      <c r="P51" s="34"/>
      <c r="Q51" s="3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>
      <c r="A52" s="1"/>
      <c r="B52" s="34"/>
      <c r="C52" s="32"/>
      <c r="D52" s="12"/>
      <c r="E52" s="12"/>
      <c r="F52" s="12"/>
      <c r="G52" s="12"/>
      <c r="H52" s="12"/>
      <c r="I52" s="12"/>
      <c r="J52" s="12"/>
      <c r="K52" s="12"/>
      <c r="L52" s="12"/>
      <c r="M52" s="1"/>
      <c r="N52" s="1"/>
      <c r="O52" s="1"/>
      <c r="P52" s="34"/>
      <c r="Q52" s="34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>
      <c r="A53" s="1"/>
      <c r="B53" s="34"/>
      <c r="C53" s="32"/>
      <c r="D53" s="12"/>
      <c r="E53" s="12"/>
      <c r="F53" s="12"/>
      <c r="G53" s="12"/>
      <c r="H53" s="12"/>
      <c r="I53" s="12"/>
      <c r="J53" s="12"/>
      <c r="K53" s="12"/>
      <c r="L53" s="12"/>
      <c r="M53" s="1"/>
      <c r="N53" s="1"/>
      <c r="O53" s="1"/>
      <c r="P53" s="34"/>
      <c r="Q53" s="34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>
      <c r="A54" s="1"/>
      <c r="B54" s="34"/>
      <c r="C54" s="32"/>
      <c r="D54" s="12"/>
      <c r="E54" s="12"/>
      <c r="F54" s="55" t="s">
        <v>62</v>
      </c>
      <c r="G54" s="55"/>
      <c r="H54" s="55"/>
      <c r="I54" s="12"/>
      <c r="J54" s="12"/>
      <c r="K54" s="12"/>
      <c r="L54" s="12"/>
      <c r="M54" s="1"/>
      <c r="N54" s="1"/>
      <c r="O54" s="1"/>
      <c r="P54" s="34"/>
      <c r="Q54" s="34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>
      <c r="A55" s="1"/>
      <c r="B55" s="34"/>
      <c r="C55" s="3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34"/>
      <c r="Q55" s="34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>
      <c r="A56" s="1"/>
      <c r="B56" s="34"/>
      <c r="C56" s="3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34"/>
      <c r="Q56" s="34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>
      <c r="A57" s="1"/>
      <c r="B57" s="34"/>
      <c r="C57" s="3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34"/>
      <c r="Q57" s="34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>
      <c r="A58" s="1"/>
      <c r="B58" s="31"/>
      <c r="C58" s="31"/>
      <c r="D58" s="1"/>
      <c r="E58" s="31"/>
      <c r="F58" s="31"/>
      <c r="G58" s="1"/>
      <c r="H58" s="1"/>
      <c r="I58" s="1"/>
      <c r="J58" s="1"/>
      <c r="K58" s="1"/>
      <c r="L58" s="1"/>
      <c r="M58" s="1"/>
      <c r="N58" s="1"/>
      <c r="O58" s="1"/>
      <c r="P58" s="34"/>
      <c r="Q58" s="31"/>
      <c r="R58" s="1"/>
      <c r="S58" s="31"/>
      <c r="T58" s="31"/>
      <c r="U58" s="1"/>
      <c r="V58" s="1"/>
      <c r="W58" s="1"/>
      <c r="X58" s="1"/>
      <c r="Y58" s="1"/>
      <c r="Z58" s="1"/>
      <c r="AA58" s="1"/>
      <c r="AB58" s="1"/>
    </row>
    <row r="59" spans="1:28" ht="15.75" customHeight="1">
      <c r="A59" s="1"/>
      <c r="B59" s="30"/>
      <c r="C59" s="3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46"/>
      <c r="Q59" s="30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>
      <c r="A60" s="1"/>
      <c r="B60" s="30"/>
      <c r="C60" s="3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46"/>
      <c r="Q60" s="30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>
      <c r="A63" s="1"/>
      <c r="B63" s="35"/>
      <c r="C63" s="35"/>
      <c r="D63" s="35"/>
      <c r="E63" s="35"/>
      <c r="F63" s="1"/>
      <c r="G63" s="1"/>
      <c r="H63" s="1"/>
      <c r="I63" s="1"/>
      <c r="J63" s="1"/>
      <c r="K63" s="1"/>
      <c r="L63" s="1"/>
      <c r="M63" s="1"/>
      <c r="N63" s="1"/>
      <c r="O63" s="1"/>
      <c r="P63" s="35"/>
      <c r="Q63" s="35"/>
      <c r="R63" s="35"/>
      <c r="S63" s="35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>
      <c r="A64" s="1"/>
      <c r="B64" s="35"/>
      <c r="C64" s="35"/>
      <c r="D64" s="36"/>
      <c r="E64" s="36"/>
      <c r="F64" s="1"/>
      <c r="G64" s="1"/>
      <c r="H64" s="1"/>
      <c r="I64" s="1"/>
      <c r="J64" s="1"/>
      <c r="K64" s="1"/>
      <c r="L64" s="1"/>
      <c r="M64" s="1"/>
      <c r="N64" s="1"/>
      <c r="O64" s="1"/>
      <c r="P64" s="35"/>
      <c r="Q64" s="35"/>
      <c r="R64" s="36"/>
      <c r="S64" s="36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>
      <c r="A65" s="1"/>
      <c r="B65" s="36"/>
      <c r="C65" s="36"/>
      <c r="D65" s="36"/>
      <c r="E65" s="36"/>
      <c r="F65" s="1"/>
      <c r="G65" s="1"/>
      <c r="H65" s="1"/>
      <c r="I65" s="1"/>
      <c r="J65" s="1"/>
      <c r="K65" s="1"/>
      <c r="L65" s="1"/>
      <c r="M65" s="1"/>
      <c r="N65" s="1"/>
      <c r="O65" s="1"/>
      <c r="P65" s="36"/>
      <c r="Q65" s="36"/>
      <c r="R65" s="36"/>
      <c r="S65" s="36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>
      <c r="A66" s="1"/>
      <c r="B66" s="54"/>
      <c r="C66" s="5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54"/>
      <c r="Q66" s="54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37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37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37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37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37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37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37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37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37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37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37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37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37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37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37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37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37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37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37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37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37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37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37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37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37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37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37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37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37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37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37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37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37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37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37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37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37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37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37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37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37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37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37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37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37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37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37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37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37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37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37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37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37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37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37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37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37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37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37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37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37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37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37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37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37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37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37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37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37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37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37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37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37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37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37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37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37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37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37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37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37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37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37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37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37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37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37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37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37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37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37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37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37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37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37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37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37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37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37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37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37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37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37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37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37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37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37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37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37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37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37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37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37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37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37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37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37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37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37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37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37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37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37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37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37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37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37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37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37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37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37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37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7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37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37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37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37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37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37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37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37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37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37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37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37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37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37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37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37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37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37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37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37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37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37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37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37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37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37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37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37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37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37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37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37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37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37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37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37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37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37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37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37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37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37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37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37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37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37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37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37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37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37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37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37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37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37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37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/>
    <row r="256" spans="1:2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66">
    <mergeCell ref="B4:M4"/>
    <mergeCell ref="P4:AA4"/>
    <mergeCell ref="B5:M5"/>
    <mergeCell ref="P5:AA5"/>
    <mergeCell ref="Q7:S7"/>
    <mergeCell ref="Q8:S8"/>
    <mergeCell ref="Q9:S9"/>
    <mergeCell ref="Q10:S10"/>
    <mergeCell ref="Q11:S11"/>
    <mergeCell ref="Q12:S12"/>
    <mergeCell ref="Q13:S13"/>
    <mergeCell ref="B14:C14"/>
    <mergeCell ref="Q14:S14"/>
    <mergeCell ref="Q15:S15"/>
    <mergeCell ref="Q16:S16"/>
    <mergeCell ref="B17:C17"/>
    <mergeCell ref="Q17:S17"/>
    <mergeCell ref="Q18:S18"/>
    <mergeCell ref="Q19:S19"/>
    <mergeCell ref="Q20:S20"/>
    <mergeCell ref="B21:M21"/>
    <mergeCell ref="Q21:S21"/>
    <mergeCell ref="C22:E22"/>
    <mergeCell ref="J22:M22"/>
    <mergeCell ref="Q22:S22"/>
    <mergeCell ref="X22:AA22"/>
    <mergeCell ref="C23:E23"/>
    <mergeCell ref="J23:M23"/>
    <mergeCell ref="Q23:S23"/>
    <mergeCell ref="C24:E24"/>
    <mergeCell ref="J24:M24"/>
    <mergeCell ref="Q24:S24"/>
    <mergeCell ref="C25:E25"/>
    <mergeCell ref="J25:M25"/>
    <mergeCell ref="Q25:S25"/>
    <mergeCell ref="C26:E26"/>
    <mergeCell ref="J26:M26"/>
    <mergeCell ref="Q26:S26"/>
    <mergeCell ref="C27:E27"/>
    <mergeCell ref="J27:M27"/>
    <mergeCell ref="Q27:S27"/>
    <mergeCell ref="C28:E28"/>
    <mergeCell ref="J28:M28"/>
    <mergeCell ref="C29:E29"/>
    <mergeCell ref="J29:M29"/>
    <mergeCell ref="C30:E30"/>
    <mergeCell ref="J30:M30"/>
    <mergeCell ref="J31:M31"/>
    <mergeCell ref="J32:M32"/>
    <mergeCell ref="J33:M33"/>
    <mergeCell ref="J34:M34"/>
    <mergeCell ref="J35:M35"/>
    <mergeCell ref="J36:M36"/>
    <mergeCell ref="C37:E37"/>
    <mergeCell ref="J37:M37"/>
    <mergeCell ref="B41:M41"/>
    <mergeCell ref="C45:E45"/>
    <mergeCell ref="H45:M45"/>
    <mergeCell ref="F51:H51"/>
    <mergeCell ref="F54:H54"/>
    <mergeCell ref="B39:M40"/>
    <mergeCell ref="C46:E46"/>
    <mergeCell ref="H46:M46"/>
    <mergeCell ref="C49:E49"/>
    <mergeCell ref="H49:M49"/>
    <mergeCell ref="F50:H50"/>
  </mergeCells>
  <pageMargins left="0.70866141732283505" right="0.70866141732283505" top="0.74803149606299202" bottom="0.74803149606299202" header="0" footer="0"/>
  <pageSetup scale="82" orientation="portrait" r:id="rId1"/>
  <headerFooter>
    <oddFooter>&amp;LLogistik UPT Manado-2025</oddFooter>
  </headerFooter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5"/>
  <sheetViews>
    <sheetView showGridLines="0" tabSelected="1" view="pageBreakPreview" topLeftCell="A7" zoomScaleNormal="100" workbookViewId="0">
      <selection activeCell="D12" sqref="D12"/>
    </sheetView>
  </sheetViews>
  <sheetFormatPr defaultColWidth="14.44140625" defaultRowHeight="15" customHeight="1"/>
  <cols>
    <col min="1" max="1" width="1" customWidth="1"/>
    <col min="2" max="2" width="4.44140625" customWidth="1"/>
    <col min="3" max="4" width="8.88671875" customWidth="1"/>
    <col min="5" max="5" width="16.109375" customWidth="1"/>
    <col min="6" max="6" width="12.5546875" customWidth="1"/>
    <col min="7" max="7" width="9.44140625" customWidth="1"/>
    <col min="8" max="8" width="11.6640625" customWidth="1"/>
    <col min="9" max="9" width="9.109375" customWidth="1"/>
    <col min="10" max="10" width="5.5546875" customWidth="1"/>
    <col min="11" max="11" width="6" customWidth="1"/>
    <col min="12" max="12" width="5.33203125" customWidth="1"/>
    <col min="13" max="13" width="5.88671875" customWidth="1"/>
    <col min="14" max="14" width="0.88671875" customWidth="1"/>
    <col min="15" max="15" width="1" customWidth="1"/>
    <col min="16" max="16" width="4.44140625" customWidth="1"/>
    <col min="17" max="17" width="34.33203125" customWidth="1"/>
    <col min="18" max="18" width="9.109375" customWidth="1"/>
    <col min="19" max="19" width="8.6640625" customWidth="1"/>
    <col min="20" max="20" width="12.5546875" customWidth="1"/>
    <col min="21" max="21" width="9.44140625" customWidth="1"/>
    <col min="22" max="22" width="11.6640625" customWidth="1"/>
    <col min="23" max="23" width="9.109375" customWidth="1"/>
    <col min="24" max="24" width="5.5546875" customWidth="1"/>
    <col min="25" max="25" width="6" customWidth="1"/>
    <col min="26" max="26" width="5.33203125" customWidth="1"/>
    <col min="27" max="27" width="5.88671875" customWidth="1"/>
    <col min="28" max="28" width="0.88671875" customWidth="1"/>
  </cols>
  <sheetData>
    <row r="1" spans="1:29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3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7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9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37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9" ht="22.8">
      <c r="A4" s="1"/>
      <c r="B4" s="88" t="s">
        <v>0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1"/>
      <c r="O4" s="1"/>
      <c r="P4" s="88" t="s">
        <v>1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1"/>
    </row>
    <row r="5" spans="1:29" ht="22.8">
      <c r="A5" s="1"/>
      <c r="B5" s="88" t="s">
        <v>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1"/>
      <c r="O5" s="1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1"/>
    </row>
    <row r="6" spans="1:29" ht="15.6">
      <c r="A6" s="1"/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8" t="s">
        <v>3</v>
      </c>
      <c r="Q6" s="38" t="s">
        <v>4</v>
      </c>
      <c r="R6" s="38"/>
      <c r="S6" s="1"/>
      <c r="T6" s="1"/>
      <c r="U6" s="49" t="s">
        <v>5</v>
      </c>
      <c r="V6" s="49"/>
      <c r="W6" s="49"/>
      <c r="X6" s="49"/>
      <c r="Y6" s="49"/>
      <c r="Z6" s="49"/>
      <c r="AA6" s="1"/>
      <c r="AB6" s="1"/>
    </row>
    <row r="7" spans="1:29" ht="13.05" customHeight="1">
      <c r="A7" s="1"/>
      <c r="B7" t="s">
        <v>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1"/>
      <c r="O7" s="1"/>
      <c r="P7" s="39">
        <v>1</v>
      </c>
      <c r="Q7" s="85">
        <f t="shared" ref="Q7:Q20" si="0">C23</f>
        <v>0</v>
      </c>
      <c r="R7" s="85"/>
      <c r="S7" s="85"/>
      <c r="T7" s="47"/>
      <c r="U7" s="4"/>
      <c r="V7" s="4"/>
      <c r="W7" s="4"/>
      <c r="X7" s="4"/>
      <c r="Y7" s="4"/>
      <c r="Z7" s="4"/>
      <c r="AA7" s="4"/>
      <c r="AB7" s="1"/>
    </row>
    <row r="8" spans="1:29" ht="13.05" customHeight="1">
      <c r="A8" s="1"/>
      <c r="B8" s="5" t="s">
        <v>7</v>
      </c>
      <c r="C8" s="6"/>
      <c r="D8" s="5" t="s">
        <v>63</v>
      </c>
      <c r="E8" s="5" t="s">
        <v>64</v>
      </c>
      <c r="F8" s="4"/>
      <c r="G8" s="4"/>
      <c r="H8" s="4"/>
      <c r="I8" s="4"/>
      <c r="J8" s="4"/>
      <c r="K8" s="4"/>
      <c r="L8" s="4"/>
      <c r="M8" s="4"/>
      <c r="N8" s="1"/>
      <c r="O8" s="1"/>
      <c r="P8" s="39">
        <v>2</v>
      </c>
      <c r="Q8" s="85">
        <f t="shared" si="0"/>
        <v>0</v>
      </c>
      <c r="R8" s="85"/>
      <c r="S8" s="85"/>
      <c r="T8" s="4"/>
      <c r="U8" s="4"/>
      <c r="V8" s="4"/>
      <c r="W8" s="4"/>
      <c r="X8" s="4"/>
      <c r="Y8" s="4"/>
      <c r="Z8" s="4"/>
      <c r="AA8" s="4"/>
      <c r="AB8" s="1"/>
      <c r="AC8" s="4"/>
    </row>
    <row r="9" spans="1:29" ht="12" customHeight="1">
      <c r="A9" s="1"/>
      <c r="B9" s="5" t="s">
        <v>10</v>
      </c>
      <c r="C9" s="6"/>
      <c r="D9" s="5" t="s">
        <v>11</v>
      </c>
      <c r="E9" s="6"/>
      <c r="F9" s="7"/>
      <c r="G9" s="7"/>
      <c r="H9" s="7"/>
      <c r="I9" s="7"/>
      <c r="J9" s="7"/>
      <c r="K9" s="7"/>
      <c r="L9" s="7"/>
      <c r="M9" s="7"/>
      <c r="N9" s="1"/>
      <c r="O9" s="1"/>
      <c r="P9" s="39">
        <v>3</v>
      </c>
      <c r="Q9" s="85">
        <f t="shared" si="0"/>
        <v>0</v>
      </c>
      <c r="R9" s="85"/>
      <c r="S9" s="85"/>
      <c r="T9" s="7"/>
      <c r="U9" s="7"/>
      <c r="V9" s="7"/>
      <c r="W9" s="7"/>
      <c r="X9" s="7"/>
      <c r="Y9" s="7"/>
      <c r="Z9" s="7"/>
      <c r="AA9" s="7"/>
      <c r="AB9" s="1"/>
    </row>
    <row r="10" spans="1:29" ht="14.4">
      <c r="A10" s="1"/>
      <c r="B10" s="5" t="s">
        <v>65</v>
      </c>
      <c r="C10" s="6"/>
      <c r="D10" s="5"/>
      <c r="E10" s="6"/>
      <c r="F10" s="5"/>
      <c r="G10" s="1"/>
      <c r="H10" s="1"/>
      <c r="I10" s="1"/>
      <c r="J10" s="1"/>
      <c r="K10" s="1"/>
      <c r="L10" s="1"/>
      <c r="M10" s="1"/>
      <c r="N10" s="1"/>
      <c r="O10" s="1"/>
      <c r="P10" s="39">
        <v>4</v>
      </c>
      <c r="Q10" s="85">
        <f t="shared" si="0"/>
        <v>0</v>
      </c>
      <c r="R10" s="85"/>
      <c r="S10" s="85"/>
      <c r="T10" s="1"/>
      <c r="U10" s="1"/>
      <c r="V10" s="1"/>
      <c r="W10" s="1"/>
      <c r="X10" s="1"/>
      <c r="Y10" s="1"/>
      <c r="Z10" s="1"/>
      <c r="AA10" s="1"/>
      <c r="AB10" s="1"/>
    </row>
    <row r="11" spans="1:29" ht="14.4">
      <c r="A11" s="1"/>
      <c r="B11" s="5" t="s">
        <v>13</v>
      </c>
      <c r="C11" s="8"/>
      <c r="D11" s="5" t="s">
        <v>68</v>
      </c>
      <c r="E11" s="9"/>
      <c r="F11" s="5"/>
      <c r="G11" s="1"/>
      <c r="H11" s="1"/>
      <c r="I11" s="1"/>
      <c r="J11" s="1"/>
      <c r="K11" s="1"/>
      <c r="L11" s="1"/>
      <c r="M11" s="1"/>
      <c r="N11" s="1"/>
      <c r="O11" s="1"/>
      <c r="P11" s="39">
        <v>5</v>
      </c>
      <c r="Q11" s="85">
        <f t="shared" si="0"/>
        <v>0</v>
      </c>
      <c r="R11" s="85"/>
      <c r="S11" s="85"/>
      <c r="T11" s="1"/>
      <c r="U11" s="1"/>
      <c r="V11" s="1"/>
      <c r="W11" s="1"/>
      <c r="X11" s="1"/>
      <c r="Y11" s="1"/>
      <c r="Z11" s="1"/>
      <c r="AA11" s="1"/>
      <c r="AB11" s="1"/>
    </row>
    <row r="12" spans="1:29" ht="14.4">
      <c r="A12" s="1"/>
      <c r="B12" s="8"/>
      <c r="C12" s="8"/>
      <c r="D12" s="10"/>
      <c r="E12" s="9"/>
      <c r="F12" s="5"/>
      <c r="G12" s="1"/>
      <c r="H12" s="1"/>
      <c r="I12" s="1"/>
      <c r="J12" s="1"/>
      <c r="K12" s="1"/>
      <c r="L12" s="1"/>
      <c r="M12" s="1"/>
      <c r="N12" s="1"/>
      <c r="O12" s="1"/>
      <c r="P12" s="39">
        <v>6</v>
      </c>
      <c r="Q12" s="85">
        <f t="shared" si="0"/>
        <v>0</v>
      </c>
      <c r="R12" s="85"/>
      <c r="S12" s="85"/>
      <c r="T12" s="1"/>
      <c r="U12" s="1"/>
      <c r="V12" s="1"/>
      <c r="W12" s="1"/>
      <c r="X12" s="1"/>
      <c r="Y12" s="1"/>
      <c r="Z12" s="1"/>
      <c r="AA12" s="1"/>
      <c r="AB12" s="1"/>
    </row>
    <row r="13" spans="1:29" ht="14.4">
      <c r="A13" s="1"/>
      <c r="B13" s="10" t="s">
        <v>15</v>
      </c>
      <c r="C13" s="8"/>
      <c r="D13" s="10"/>
      <c r="E13" s="9"/>
      <c r="F13" s="5"/>
      <c r="G13" s="1"/>
      <c r="H13" s="1"/>
      <c r="I13" s="1"/>
      <c r="J13" s="1"/>
      <c r="K13" s="1"/>
      <c r="L13" s="1"/>
      <c r="M13" s="1"/>
      <c r="N13" s="1"/>
      <c r="O13" s="1"/>
      <c r="P13" s="39">
        <v>7</v>
      </c>
      <c r="Q13" s="85">
        <f t="shared" si="0"/>
        <v>0</v>
      </c>
      <c r="R13" s="85"/>
      <c r="S13" s="85"/>
      <c r="T13" s="1"/>
      <c r="U13" s="1"/>
      <c r="V13" s="1"/>
      <c r="W13" s="1"/>
      <c r="X13" s="1"/>
      <c r="Y13" s="1"/>
      <c r="Z13" s="1"/>
      <c r="AA13" s="1"/>
      <c r="AB13" s="1"/>
    </row>
    <row r="14" spans="1:29" ht="14.4">
      <c r="A14" s="1"/>
      <c r="B14" s="86" t="s">
        <v>16</v>
      </c>
      <c r="C14" s="87"/>
      <c r="D14" s="5" t="s">
        <v>17</v>
      </c>
      <c r="E14" s="11" t="s">
        <v>18</v>
      </c>
      <c r="F14" s="5"/>
      <c r="G14" s="12"/>
      <c r="H14" s="12"/>
      <c r="I14" s="1"/>
      <c r="J14" s="1"/>
      <c r="K14" s="1"/>
      <c r="L14" s="1"/>
      <c r="M14" s="1"/>
      <c r="N14" s="1"/>
      <c r="O14" s="1"/>
      <c r="P14" s="39">
        <v>8</v>
      </c>
      <c r="Q14" s="85">
        <f t="shared" si="0"/>
        <v>0</v>
      </c>
      <c r="R14" s="85"/>
      <c r="S14" s="85"/>
      <c r="T14" s="1"/>
      <c r="U14" s="1"/>
      <c r="V14" s="1"/>
      <c r="W14" s="1"/>
      <c r="X14" s="1"/>
      <c r="Y14" s="1"/>
      <c r="Z14" s="1"/>
      <c r="AA14" s="1"/>
      <c r="AB14" s="1"/>
    </row>
    <row r="15" spans="1:29" ht="14.4">
      <c r="A15" s="1"/>
      <c r="B15" s="13"/>
      <c r="C15" s="13"/>
      <c r="D15" s="5" t="s">
        <v>20</v>
      </c>
      <c r="E15" s="11" t="s">
        <v>18</v>
      </c>
      <c r="F15" s="14"/>
      <c r="G15" s="12"/>
      <c r="H15" s="12"/>
      <c r="I15" s="1"/>
      <c r="J15" s="1"/>
      <c r="K15" s="1"/>
      <c r="L15" s="1"/>
      <c r="M15" s="1"/>
      <c r="N15" s="1"/>
      <c r="O15" s="1"/>
      <c r="P15" s="39">
        <v>9</v>
      </c>
      <c r="Q15" s="85">
        <f t="shared" si="0"/>
        <v>0</v>
      </c>
      <c r="R15" s="85"/>
      <c r="S15" s="85"/>
      <c r="T15" s="1"/>
      <c r="U15" s="1"/>
      <c r="V15" s="1"/>
      <c r="W15" s="1"/>
      <c r="X15" s="1"/>
      <c r="Y15" s="1"/>
      <c r="Z15" s="1"/>
      <c r="AA15" s="1"/>
      <c r="AB15" s="1"/>
    </row>
    <row r="16" spans="1:29" ht="14.4">
      <c r="A16" s="1"/>
      <c r="B16" s="5" t="s">
        <v>22</v>
      </c>
      <c r="C16" s="5"/>
      <c r="D16" s="12"/>
      <c r="E16" s="12"/>
      <c r="F16" s="14"/>
      <c r="G16" s="12"/>
      <c r="H16" s="15" t="s">
        <v>66</v>
      </c>
      <c r="I16" s="1"/>
      <c r="J16" s="1"/>
      <c r="K16" s="1"/>
      <c r="L16" s="1"/>
      <c r="M16" s="1"/>
      <c r="N16" s="1"/>
      <c r="O16" s="1"/>
      <c r="P16" s="39">
        <v>10</v>
      </c>
      <c r="Q16" s="85">
        <f t="shared" si="0"/>
        <v>0</v>
      </c>
      <c r="R16" s="85"/>
      <c r="S16" s="85"/>
      <c r="T16" s="1"/>
      <c r="U16" s="1"/>
      <c r="V16" s="50"/>
      <c r="W16" s="1"/>
      <c r="X16" s="1"/>
      <c r="Y16" s="1"/>
      <c r="Z16" s="1"/>
      <c r="AA16" s="1"/>
      <c r="AB16" s="1"/>
    </row>
    <row r="17" spans="1:28" ht="14.4">
      <c r="A17" s="1"/>
      <c r="B17" s="84">
        <v>2</v>
      </c>
      <c r="C17" s="84"/>
      <c r="D17" s="5" t="s">
        <v>17</v>
      </c>
      <c r="E17" s="11" t="s">
        <v>18</v>
      </c>
      <c r="F17" s="5"/>
      <c r="G17" s="12"/>
      <c r="H17" s="12"/>
      <c r="I17" s="1"/>
      <c r="J17" s="1"/>
      <c r="K17" s="1"/>
      <c r="L17" s="1"/>
      <c r="M17" s="1"/>
      <c r="N17" s="1"/>
      <c r="O17" s="1"/>
      <c r="P17" s="39">
        <v>11</v>
      </c>
      <c r="Q17" s="85">
        <f t="shared" si="0"/>
        <v>0</v>
      </c>
      <c r="R17" s="85"/>
      <c r="S17" s="85"/>
      <c r="T17" s="1"/>
      <c r="U17" s="1"/>
      <c r="V17" s="1"/>
      <c r="W17" s="1"/>
      <c r="X17" s="1"/>
      <c r="Y17" s="1"/>
      <c r="Z17" s="1"/>
      <c r="AA17" s="1"/>
      <c r="AB17" s="1"/>
    </row>
    <row r="18" spans="1:28" ht="14.4">
      <c r="A18" s="1"/>
      <c r="B18" s="16"/>
      <c r="C18" s="16"/>
      <c r="D18" s="5" t="s">
        <v>20</v>
      </c>
      <c r="E18" s="11" t="s">
        <v>18</v>
      </c>
      <c r="F18" s="5"/>
      <c r="G18" s="12"/>
      <c r="H18" s="12"/>
      <c r="I18" s="1"/>
      <c r="J18" s="1"/>
      <c r="K18" s="1"/>
      <c r="L18" s="1"/>
      <c r="M18" s="1"/>
      <c r="N18" s="1"/>
      <c r="O18" s="1"/>
      <c r="P18" s="39">
        <v>12</v>
      </c>
      <c r="Q18" s="85">
        <f t="shared" si="0"/>
        <v>0</v>
      </c>
      <c r="R18" s="85"/>
      <c r="S18" s="85"/>
      <c r="T18" s="1"/>
      <c r="U18" s="1"/>
      <c r="V18" s="1"/>
      <c r="W18" s="1"/>
      <c r="X18" s="1"/>
      <c r="Y18" s="1"/>
      <c r="Z18" s="1"/>
      <c r="AA18" s="1"/>
      <c r="AB18" s="1"/>
    </row>
    <row r="19" spans="1:28" ht="14.4">
      <c r="A19" s="1"/>
      <c r="B19" s="5" t="s">
        <v>26</v>
      </c>
      <c r="C19" s="5"/>
      <c r="D19" s="12"/>
      <c r="E19" s="12"/>
      <c r="F19" s="12"/>
      <c r="G19" s="12"/>
      <c r="H19" s="15" t="s">
        <v>66</v>
      </c>
      <c r="I19" s="1"/>
      <c r="J19" s="1"/>
      <c r="K19" s="1"/>
      <c r="L19" s="1"/>
      <c r="M19" s="1"/>
      <c r="N19" s="1"/>
      <c r="O19" s="1"/>
      <c r="P19" s="39">
        <v>13</v>
      </c>
      <c r="Q19" s="85">
        <f t="shared" si="0"/>
        <v>0</v>
      </c>
      <c r="R19" s="85"/>
      <c r="S19" s="85"/>
      <c r="T19" s="1"/>
      <c r="U19" s="1"/>
      <c r="V19" s="50"/>
      <c r="W19" s="1"/>
      <c r="X19" s="1"/>
      <c r="Y19" s="1"/>
      <c r="Z19" s="1"/>
      <c r="AA19" s="1"/>
      <c r="AB19" s="1"/>
    </row>
    <row r="20" spans="1:28">
      <c r="A20" s="1"/>
      <c r="B20" s="17"/>
      <c r="C20" s="1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9">
        <v>14</v>
      </c>
      <c r="Q20" s="85">
        <f t="shared" si="0"/>
        <v>0</v>
      </c>
      <c r="R20" s="85"/>
      <c r="S20" s="85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A21" s="1"/>
      <c r="B21" s="62" t="s">
        <v>28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1"/>
      <c r="O21" s="1"/>
      <c r="P21" s="40"/>
      <c r="Q21" s="78"/>
      <c r="R21" s="79"/>
      <c r="S21" s="79"/>
      <c r="T21" s="17"/>
      <c r="U21" s="17"/>
      <c r="V21" s="17"/>
      <c r="W21" s="17"/>
      <c r="X21" s="17"/>
      <c r="Y21" s="17"/>
      <c r="Z21" s="17"/>
      <c r="AA21" s="17"/>
      <c r="AB21" s="1"/>
    </row>
    <row r="22" spans="1:28" ht="14.4">
      <c r="A22" s="1"/>
      <c r="B22" s="18" t="s">
        <v>29</v>
      </c>
      <c r="C22" s="80" t="s">
        <v>30</v>
      </c>
      <c r="D22" s="81"/>
      <c r="E22" s="82"/>
      <c r="F22" s="19" t="s">
        <v>31</v>
      </c>
      <c r="G22" s="19" t="s">
        <v>32</v>
      </c>
      <c r="H22" s="19" t="s">
        <v>33</v>
      </c>
      <c r="I22" s="41" t="s">
        <v>34</v>
      </c>
      <c r="J22" s="83" t="s">
        <v>35</v>
      </c>
      <c r="K22" s="81"/>
      <c r="L22" s="81"/>
      <c r="M22" s="82"/>
      <c r="N22" s="1"/>
      <c r="O22" s="1"/>
      <c r="P22" s="40"/>
      <c r="Q22" s="68"/>
      <c r="R22" s="68"/>
      <c r="S22" s="68"/>
      <c r="T22" s="51"/>
      <c r="U22" s="28"/>
      <c r="V22" s="28"/>
      <c r="W22" s="52"/>
      <c r="X22" s="72"/>
      <c r="Y22" s="72"/>
      <c r="Z22" s="72"/>
      <c r="AA22" s="72"/>
      <c r="AB22" s="1"/>
    </row>
    <row r="23" spans="1:28" ht="14.4">
      <c r="A23" s="1"/>
      <c r="B23" s="20">
        <v>1</v>
      </c>
      <c r="C23" s="73"/>
      <c r="D23" s="73"/>
      <c r="E23" s="74"/>
      <c r="F23" s="21"/>
      <c r="G23" s="21"/>
      <c r="H23" s="22"/>
      <c r="I23" s="42"/>
      <c r="J23" s="63"/>
      <c r="K23" s="64"/>
      <c r="L23" s="64"/>
      <c r="M23" s="65"/>
      <c r="N23" s="1"/>
      <c r="O23" s="1"/>
      <c r="P23" s="40"/>
      <c r="Q23" s="68"/>
      <c r="R23" s="68"/>
      <c r="S23" s="68"/>
      <c r="T23" s="28"/>
      <c r="U23" s="28"/>
      <c r="V23" s="28"/>
      <c r="W23" s="28"/>
      <c r="X23" s="52"/>
      <c r="Y23" s="53"/>
      <c r="Z23" s="53"/>
      <c r="AA23" s="53"/>
      <c r="AB23" s="1"/>
    </row>
    <row r="24" spans="1:28" ht="14.4">
      <c r="A24" s="1"/>
      <c r="B24" s="23">
        <v>2</v>
      </c>
      <c r="C24" s="75"/>
      <c r="D24" s="76"/>
      <c r="E24" s="77"/>
      <c r="F24" s="21"/>
      <c r="G24" s="21"/>
      <c r="H24" s="22"/>
      <c r="I24" s="42"/>
      <c r="J24" s="63"/>
      <c r="K24" s="64"/>
      <c r="L24" s="64"/>
      <c r="M24" s="65"/>
      <c r="N24" s="1"/>
      <c r="O24" s="1"/>
      <c r="P24" s="40"/>
      <c r="Q24" s="68"/>
      <c r="R24" s="68"/>
      <c r="S24" s="68"/>
      <c r="T24" s="28"/>
      <c r="U24" s="28"/>
      <c r="V24" s="28"/>
      <c r="W24" s="28"/>
      <c r="X24" s="52"/>
      <c r="Y24" s="53"/>
      <c r="Z24" s="53"/>
      <c r="AA24" s="53"/>
      <c r="AB24" s="1"/>
    </row>
    <row r="25" spans="1:28" ht="14.4">
      <c r="A25" s="1"/>
      <c r="B25" s="23">
        <v>3</v>
      </c>
      <c r="C25" s="66"/>
      <c r="D25" s="59"/>
      <c r="E25" s="60"/>
      <c r="F25" s="21"/>
      <c r="G25" s="21"/>
      <c r="H25" s="22"/>
      <c r="I25" s="42"/>
      <c r="J25" s="63"/>
      <c r="K25" s="64"/>
      <c r="L25" s="64"/>
      <c r="M25" s="65"/>
      <c r="N25" s="1"/>
      <c r="O25" s="1"/>
      <c r="P25" s="40"/>
      <c r="Q25" s="68"/>
      <c r="R25" s="68"/>
      <c r="S25" s="68"/>
      <c r="T25" s="28"/>
      <c r="U25" s="28"/>
      <c r="V25" s="28"/>
      <c r="W25" s="28"/>
      <c r="X25" s="52"/>
      <c r="Y25" s="53"/>
      <c r="Z25" s="28"/>
      <c r="AA25" s="53"/>
      <c r="AB25" s="1"/>
    </row>
    <row r="26" spans="1:28" ht="22.95" customHeight="1">
      <c r="A26" s="1"/>
      <c r="B26" s="23">
        <v>4</v>
      </c>
      <c r="C26" s="69"/>
      <c r="D26" s="70"/>
      <c r="E26" s="71"/>
      <c r="F26" s="21"/>
      <c r="G26" s="21"/>
      <c r="H26" s="22"/>
      <c r="I26" s="42"/>
      <c r="J26" s="63"/>
      <c r="K26" s="64"/>
      <c r="L26" s="64"/>
      <c r="M26" s="65"/>
      <c r="N26" s="1"/>
      <c r="O26" s="1"/>
      <c r="P26" s="40"/>
      <c r="Q26" s="67"/>
      <c r="R26" s="67"/>
      <c r="S26" s="67"/>
      <c r="T26" s="28"/>
      <c r="U26" s="28"/>
      <c r="V26" s="28"/>
      <c r="W26" s="28"/>
      <c r="X26" s="52"/>
      <c r="Y26" s="53"/>
      <c r="Z26" s="53"/>
      <c r="AA26" s="53"/>
      <c r="AB26" s="1"/>
    </row>
    <row r="27" spans="1:28" ht="14.4">
      <c r="A27" s="1"/>
      <c r="B27" s="23">
        <v>5</v>
      </c>
      <c r="C27" s="66"/>
      <c r="D27" s="59"/>
      <c r="E27" s="60"/>
      <c r="F27" s="21"/>
      <c r="G27" s="21"/>
      <c r="H27" s="22"/>
      <c r="I27" s="42"/>
      <c r="J27" s="63"/>
      <c r="K27" s="64"/>
      <c r="L27" s="64"/>
      <c r="M27" s="65"/>
      <c r="N27" s="1"/>
      <c r="O27" s="1"/>
      <c r="P27" s="40"/>
      <c r="Q27" s="67"/>
      <c r="R27" s="67"/>
      <c r="S27" s="67"/>
      <c r="T27" s="28"/>
      <c r="U27" s="28"/>
      <c r="V27" s="28"/>
      <c r="W27" s="28"/>
      <c r="X27" s="52"/>
      <c r="Y27" s="53"/>
      <c r="Z27" s="53"/>
      <c r="AA27" s="53"/>
      <c r="AB27" s="1"/>
    </row>
    <row r="28" spans="1:28" ht="14.4">
      <c r="A28" s="1"/>
      <c r="B28" s="23">
        <v>6</v>
      </c>
      <c r="C28" s="66"/>
      <c r="D28" s="59"/>
      <c r="E28" s="60"/>
      <c r="F28" s="21"/>
      <c r="G28" s="21"/>
      <c r="H28" s="22"/>
      <c r="I28" s="42"/>
      <c r="J28" s="63"/>
      <c r="K28" s="64"/>
      <c r="L28" s="64"/>
      <c r="M28" s="65"/>
      <c r="N28" s="1"/>
      <c r="O28" s="1"/>
      <c r="P28" s="40"/>
      <c r="Q28" s="29"/>
      <c r="R28" s="28"/>
      <c r="S28" s="28"/>
      <c r="T28" s="28"/>
      <c r="U28" s="28"/>
      <c r="V28" s="28"/>
      <c r="W28" s="28"/>
      <c r="X28" s="52"/>
      <c r="Y28" s="53"/>
      <c r="Z28" s="53"/>
      <c r="AA28" s="53"/>
      <c r="AB28" s="1"/>
    </row>
    <row r="29" spans="1:28" ht="14.4">
      <c r="A29" s="1"/>
      <c r="B29" s="23">
        <v>7</v>
      </c>
      <c r="C29" s="66"/>
      <c r="D29" s="59"/>
      <c r="E29" s="60"/>
      <c r="F29" s="21"/>
      <c r="G29" s="21"/>
      <c r="H29" s="22"/>
      <c r="I29" s="42"/>
      <c r="J29" s="63"/>
      <c r="K29" s="64"/>
      <c r="L29" s="64"/>
      <c r="M29" s="65"/>
      <c r="N29" s="1"/>
      <c r="O29" s="1"/>
      <c r="P29" s="40"/>
      <c r="Q29" s="29"/>
      <c r="R29" s="28"/>
      <c r="S29" s="28"/>
      <c r="T29" s="28"/>
      <c r="U29" s="28"/>
      <c r="V29" s="28"/>
      <c r="W29" s="28"/>
      <c r="X29" s="52"/>
      <c r="Y29" s="53"/>
      <c r="Z29" s="53"/>
      <c r="AA29" s="53"/>
      <c r="AB29" s="1"/>
    </row>
    <row r="30" spans="1:28" ht="14.4">
      <c r="A30" s="1"/>
      <c r="B30" s="23">
        <v>8</v>
      </c>
      <c r="C30" s="66"/>
      <c r="D30" s="59"/>
      <c r="E30" s="60"/>
      <c r="F30" s="21"/>
      <c r="G30" s="21"/>
      <c r="H30" s="22"/>
      <c r="I30" s="42"/>
      <c r="J30" s="63"/>
      <c r="K30" s="64"/>
      <c r="L30" s="64"/>
      <c r="M30" s="65"/>
      <c r="N30" s="1"/>
      <c r="O30" s="1"/>
      <c r="P30" s="40"/>
      <c r="Q30" s="29"/>
      <c r="R30" s="28"/>
      <c r="S30" s="28"/>
      <c r="T30" s="28"/>
      <c r="U30" s="28"/>
      <c r="V30" s="28"/>
      <c r="W30" s="28"/>
      <c r="X30" s="52"/>
      <c r="Y30" s="53"/>
      <c r="Z30" s="53"/>
      <c r="AA30" s="53"/>
      <c r="AB30" s="1"/>
    </row>
    <row r="31" spans="1:28" ht="14.4">
      <c r="A31" s="1"/>
      <c r="B31" s="23">
        <v>9</v>
      </c>
      <c r="C31" s="24"/>
      <c r="D31" s="25"/>
      <c r="E31" s="26"/>
      <c r="F31" s="21"/>
      <c r="G31" s="21"/>
      <c r="H31" s="22"/>
      <c r="I31" s="42"/>
      <c r="J31" s="63"/>
      <c r="K31" s="64"/>
      <c r="L31" s="64"/>
      <c r="M31" s="65"/>
      <c r="N31" s="1"/>
      <c r="O31" s="1"/>
      <c r="P31" s="40"/>
      <c r="Q31" s="29"/>
      <c r="R31" s="28"/>
      <c r="S31" s="28"/>
      <c r="T31" s="28"/>
      <c r="U31" s="28"/>
      <c r="V31" s="28"/>
      <c r="W31" s="28"/>
      <c r="X31" s="52"/>
      <c r="Y31" s="53"/>
      <c r="Z31" s="53"/>
      <c r="AA31" s="53"/>
      <c r="AB31" s="1"/>
    </row>
    <row r="32" spans="1:28" ht="14.4">
      <c r="A32" s="1"/>
      <c r="B32" s="23">
        <v>10</v>
      </c>
      <c r="C32" s="24"/>
      <c r="D32" s="25"/>
      <c r="E32" s="26"/>
      <c r="F32" s="21"/>
      <c r="G32" s="21"/>
      <c r="H32" s="22"/>
      <c r="I32" s="42"/>
      <c r="J32" s="63"/>
      <c r="K32" s="64"/>
      <c r="L32" s="64"/>
      <c r="M32" s="65"/>
      <c r="N32" s="1"/>
      <c r="O32" s="1"/>
      <c r="P32" s="40"/>
      <c r="Q32" s="29"/>
      <c r="R32" s="28"/>
      <c r="S32" s="28"/>
      <c r="T32" s="28"/>
      <c r="U32" s="28"/>
      <c r="V32" s="28"/>
      <c r="W32" s="28"/>
      <c r="X32" s="52"/>
      <c r="Y32" s="53"/>
      <c r="Z32" s="53"/>
      <c r="AA32" s="53"/>
      <c r="AB32" s="1"/>
    </row>
    <row r="33" spans="1:28" ht="14.4">
      <c r="A33" s="1"/>
      <c r="B33" s="23">
        <v>11</v>
      </c>
      <c r="C33" s="24"/>
      <c r="D33" s="25"/>
      <c r="E33" s="26"/>
      <c r="F33" s="21"/>
      <c r="G33" s="21"/>
      <c r="H33" s="22"/>
      <c r="I33" s="42"/>
      <c r="J33" s="63"/>
      <c r="K33" s="64"/>
      <c r="L33" s="64"/>
      <c r="M33" s="65"/>
      <c r="N33" s="1"/>
      <c r="O33" s="1"/>
      <c r="P33" s="40"/>
      <c r="Q33" s="29"/>
      <c r="R33" s="28"/>
      <c r="S33" s="28"/>
      <c r="T33" s="28"/>
      <c r="U33" s="28"/>
      <c r="V33" s="28"/>
      <c r="W33" s="28"/>
      <c r="X33" s="52"/>
      <c r="Y33" s="53"/>
      <c r="Z33" s="53"/>
      <c r="AA33" s="53"/>
      <c r="AB33" s="1"/>
    </row>
    <row r="34" spans="1:28" ht="14.4">
      <c r="A34" s="1"/>
      <c r="B34" s="23">
        <v>12</v>
      </c>
      <c r="C34" s="24"/>
      <c r="D34" s="25"/>
      <c r="E34" s="26"/>
      <c r="F34" s="21"/>
      <c r="G34" s="21"/>
      <c r="H34" s="22"/>
      <c r="I34" s="42"/>
      <c r="J34" s="63"/>
      <c r="K34" s="64"/>
      <c r="L34" s="64"/>
      <c r="M34" s="65"/>
      <c r="N34" s="1"/>
      <c r="O34" s="1"/>
      <c r="P34" s="40"/>
      <c r="Q34" s="29"/>
      <c r="R34" s="28"/>
      <c r="S34" s="28"/>
      <c r="T34" s="28"/>
      <c r="U34" s="28"/>
      <c r="V34" s="28"/>
      <c r="W34" s="28"/>
      <c r="X34" s="52"/>
      <c r="Y34" s="53"/>
      <c r="Z34" s="53"/>
      <c r="AA34" s="53"/>
      <c r="AB34" s="1"/>
    </row>
    <row r="35" spans="1:28" ht="14.4">
      <c r="A35" s="1"/>
      <c r="B35" s="23">
        <v>13</v>
      </c>
      <c r="C35" s="24"/>
      <c r="D35" s="25"/>
      <c r="E35" s="26"/>
      <c r="F35" s="21"/>
      <c r="G35" s="21"/>
      <c r="H35" s="22"/>
      <c r="I35" s="42"/>
      <c r="J35" s="63"/>
      <c r="K35" s="64"/>
      <c r="L35" s="64"/>
      <c r="M35" s="65"/>
      <c r="N35" s="1"/>
      <c r="O35" s="1"/>
      <c r="P35" s="40"/>
      <c r="Q35" s="29"/>
      <c r="R35" s="28"/>
      <c r="S35" s="28"/>
      <c r="T35" s="28"/>
      <c r="U35" s="28"/>
      <c r="V35" s="28"/>
      <c r="W35" s="28"/>
      <c r="X35" s="52"/>
      <c r="Y35" s="53"/>
      <c r="Z35" s="53"/>
      <c r="AA35" s="53"/>
      <c r="AB35" s="1"/>
    </row>
    <row r="36" spans="1:28" ht="14.4">
      <c r="A36" s="1"/>
      <c r="B36" s="27">
        <v>14</v>
      </c>
      <c r="C36" s="24"/>
      <c r="D36" s="25"/>
      <c r="E36" s="26"/>
      <c r="F36" s="21"/>
      <c r="G36" s="21"/>
      <c r="H36" s="22"/>
      <c r="I36" s="42"/>
      <c r="J36" s="63"/>
      <c r="K36" s="64"/>
      <c r="L36" s="64"/>
      <c r="M36" s="65"/>
      <c r="N36" s="1"/>
      <c r="O36" s="1"/>
      <c r="P36" s="40"/>
      <c r="Q36" s="29"/>
      <c r="R36" s="28"/>
      <c r="S36" s="28"/>
      <c r="T36" s="28"/>
      <c r="U36" s="28"/>
      <c r="V36" s="28"/>
      <c r="W36" s="28"/>
      <c r="X36" s="52"/>
      <c r="Y36" s="53"/>
      <c r="Z36" s="53"/>
      <c r="AA36" s="53"/>
      <c r="AB36" s="1"/>
    </row>
    <row r="37" spans="1:28" ht="14.4">
      <c r="A37" s="1"/>
      <c r="B37" s="21"/>
      <c r="C37" s="58"/>
      <c r="D37" s="59"/>
      <c r="E37" s="60"/>
      <c r="F37" s="21"/>
      <c r="G37" s="21"/>
      <c r="H37" s="22"/>
      <c r="I37" s="43"/>
      <c r="J37" s="61"/>
      <c r="K37" s="59"/>
      <c r="L37" s="59"/>
      <c r="M37" s="60"/>
      <c r="N37" s="1"/>
      <c r="O37" s="1"/>
      <c r="P37" s="40"/>
      <c r="Q37" s="29"/>
      <c r="R37" s="28"/>
      <c r="S37" s="28"/>
      <c r="T37" s="28"/>
      <c r="U37" s="28"/>
      <c r="V37" s="28"/>
      <c r="W37" s="28"/>
      <c r="X37" s="52"/>
      <c r="Y37" s="53"/>
      <c r="Z37" s="53"/>
      <c r="AA37" s="53"/>
      <c r="AB37" s="1"/>
    </row>
    <row r="38" spans="1:28" ht="15.75" customHeight="1">
      <c r="A38" s="1"/>
      <c r="B38" s="28"/>
      <c r="C38" s="29"/>
      <c r="D38" s="29"/>
      <c r="E38" s="29"/>
      <c r="F38" s="28"/>
      <c r="G38" s="28"/>
      <c r="H38" s="11"/>
      <c r="I38" s="44"/>
      <c r="J38" s="45"/>
      <c r="K38" s="45"/>
      <c r="L38" s="45"/>
      <c r="M38" s="45"/>
      <c r="N38" s="1"/>
      <c r="O38" s="1"/>
      <c r="P38" s="46"/>
      <c r="Q38" s="29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>
      <c r="A39" s="1"/>
      <c r="B39" s="56" t="s">
        <v>55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1"/>
      <c r="O39" s="1"/>
      <c r="P39" s="47"/>
      <c r="Q39" s="29"/>
      <c r="R39" s="4"/>
      <c r="S39" s="4"/>
      <c r="T39" s="4"/>
      <c r="U39" s="4"/>
      <c r="V39" s="4"/>
      <c r="W39" s="4"/>
      <c r="X39" s="4"/>
      <c r="Y39" s="4"/>
      <c r="Z39" s="4"/>
      <c r="AA39" s="4"/>
      <c r="AB39" s="1"/>
    </row>
    <row r="40" spans="1:28" ht="15.75" customHeight="1">
      <c r="A40" s="1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1"/>
      <c r="O40" s="1"/>
      <c r="P40" s="47"/>
      <c r="Q40" s="29"/>
      <c r="R40" s="4"/>
      <c r="S40" s="4"/>
      <c r="T40" s="4"/>
      <c r="U40" s="4"/>
      <c r="V40" s="4"/>
      <c r="W40" s="4"/>
      <c r="X40" s="4"/>
      <c r="Y40" s="4"/>
      <c r="Z40" s="4"/>
      <c r="AA40" s="4"/>
      <c r="AB40" s="1"/>
    </row>
    <row r="41" spans="1:28" ht="15.75" customHeight="1">
      <c r="A41" s="1"/>
      <c r="B41" s="62" t="s">
        <v>56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1"/>
      <c r="O41" s="1"/>
      <c r="P41" s="46"/>
      <c r="Q41" s="29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"/>
    </row>
    <row r="42" spans="1:28" ht="15.75" customHeight="1">
      <c r="A42" s="1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1"/>
      <c r="O42" s="1"/>
      <c r="P42" s="46"/>
      <c r="Q42" s="29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"/>
    </row>
    <row r="43" spans="1:28" ht="15.75" customHeight="1">
      <c r="A43" s="1"/>
      <c r="B43" s="30"/>
      <c r="C43" s="30"/>
      <c r="D43" s="1"/>
      <c r="E43" s="1"/>
      <c r="F43" s="1"/>
      <c r="G43" s="1"/>
      <c r="H43" s="1"/>
      <c r="I43" s="48" t="s">
        <v>57</v>
      </c>
      <c r="J43" s="48" t="str">
        <f>E8</f>
        <v>23 Januari 2026</v>
      </c>
      <c r="K43" s="1"/>
      <c r="L43" s="1"/>
      <c r="M43" s="1"/>
      <c r="N43" s="1"/>
      <c r="O43" s="1"/>
      <c r="P43" s="46"/>
      <c r="Q43" s="29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>
      <c r="A44" s="1"/>
      <c r="B44" s="31"/>
      <c r="C44" s="31"/>
      <c r="D44" s="1"/>
      <c r="E44" s="1"/>
      <c r="F44" s="1"/>
      <c r="G44" s="1"/>
      <c r="H44" s="31"/>
      <c r="I44" s="1"/>
      <c r="J44" s="1"/>
      <c r="K44" s="1"/>
      <c r="L44" s="1"/>
      <c r="M44" s="1"/>
      <c r="N44" s="1"/>
      <c r="O44" s="1"/>
      <c r="P44" s="34"/>
      <c r="Q44" s="29"/>
      <c r="R44" s="1"/>
      <c r="S44" s="1"/>
      <c r="T44" s="1"/>
      <c r="U44" s="1"/>
      <c r="V44" s="31"/>
      <c r="W44" s="1"/>
      <c r="X44" s="1"/>
      <c r="Y44" s="1"/>
      <c r="Z44" s="1"/>
      <c r="AA44" s="1"/>
      <c r="AB44" s="1"/>
    </row>
    <row r="45" spans="1:28" ht="15.75" customHeight="1">
      <c r="A45" s="1"/>
      <c r="B45" s="31"/>
      <c r="C45" s="57" t="s">
        <v>58</v>
      </c>
      <c r="D45" s="57"/>
      <c r="E45" s="57"/>
      <c r="F45" s="12"/>
      <c r="G45" s="12"/>
      <c r="H45" s="55" t="s">
        <v>59</v>
      </c>
      <c r="I45" s="55"/>
      <c r="J45" s="55"/>
      <c r="K45" s="55"/>
      <c r="L45" s="55"/>
      <c r="M45" s="55"/>
      <c r="N45" s="1"/>
      <c r="O45" s="1"/>
      <c r="P45" s="34"/>
      <c r="Q45" s="29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>
      <c r="A46" s="1"/>
      <c r="B46" s="31"/>
      <c r="C46" s="57">
        <f>F15</f>
        <v>0</v>
      </c>
      <c r="D46" s="57"/>
      <c r="E46" s="57"/>
      <c r="F46" s="12"/>
      <c r="G46" s="12"/>
      <c r="H46" s="57">
        <f>F18</f>
        <v>0</v>
      </c>
      <c r="I46" s="57"/>
      <c r="J46" s="57"/>
      <c r="K46" s="57"/>
      <c r="L46" s="57"/>
      <c r="M46" s="57"/>
      <c r="N46" s="1"/>
      <c r="O46" s="1"/>
      <c r="P46" s="34"/>
      <c r="Q46" s="29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>
      <c r="A47" s="1"/>
      <c r="B47" s="31"/>
      <c r="C47" s="33"/>
      <c r="D47" s="12"/>
      <c r="E47" s="12"/>
      <c r="F47" s="12"/>
      <c r="G47" s="12"/>
      <c r="H47" s="12"/>
      <c r="I47" s="12"/>
      <c r="J47" s="12"/>
      <c r="K47" s="12"/>
      <c r="L47" s="12"/>
      <c r="M47" s="1"/>
      <c r="N47" s="1"/>
      <c r="O47" s="1"/>
      <c r="P47" s="34"/>
      <c r="Q47" s="29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>
      <c r="A48" s="1"/>
      <c r="B48" s="31"/>
      <c r="C48" s="33"/>
      <c r="D48" s="12"/>
      <c r="E48" s="12"/>
      <c r="F48" s="12"/>
      <c r="G48" s="12"/>
      <c r="H48" s="12"/>
      <c r="I48" s="12"/>
      <c r="J48" s="12"/>
      <c r="K48" s="12"/>
      <c r="L48" s="12"/>
      <c r="M48" s="1"/>
      <c r="N48" s="1"/>
      <c r="O48" s="1"/>
      <c r="P48" s="34"/>
      <c r="Q48" s="29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>
      <c r="A49" s="1"/>
      <c r="B49" s="31"/>
      <c r="C49" s="57">
        <f>F14</f>
        <v>0</v>
      </c>
      <c r="D49" s="57"/>
      <c r="E49" s="57"/>
      <c r="F49" s="12"/>
      <c r="G49" s="12"/>
      <c r="H49" s="55">
        <f>F17</f>
        <v>0</v>
      </c>
      <c r="I49" s="55"/>
      <c r="J49" s="55"/>
      <c r="K49" s="55"/>
      <c r="L49" s="55"/>
      <c r="M49" s="55"/>
      <c r="N49" s="31"/>
      <c r="O49" s="1"/>
      <c r="P49" s="34"/>
      <c r="Q49" s="29"/>
      <c r="R49" s="1"/>
      <c r="S49" s="1"/>
      <c r="T49" s="31"/>
      <c r="U49" s="1"/>
      <c r="V49" s="1"/>
      <c r="W49" s="1"/>
      <c r="X49" s="1"/>
      <c r="Y49" s="31"/>
      <c r="Z49" s="1"/>
      <c r="AA49" s="1"/>
      <c r="AB49" s="31"/>
    </row>
    <row r="50" spans="1:28" ht="15.75" customHeight="1">
      <c r="A50" s="1"/>
      <c r="B50" s="31"/>
      <c r="C50" s="33"/>
      <c r="D50" s="12"/>
      <c r="E50" s="12"/>
      <c r="F50" s="57" t="s">
        <v>60</v>
      </c>
      <c r="G50" s="57"/>
      <c r="H50" s="57"/>
      <c r="I50" s="12"/>
      <c r="J50" s="12"/>
      <c r="K50" s="12"/>
      <c r="L50" s="12"/>
      <c r="M50" s="1"/>
      <c r="N50" s="1"/>
      <c r="O50" s="1"/>
      <c r="P50" s="34"/>
      <c r="Q50" s="29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>
      <c r="A51" s="1"/>
      <c r="B51" s="31"/>
      <c r="C51" s="33"/>
      <c r="D51" s="12"/>
      <c r="E51" s="12"/>
      <c r="F51" s="55" t="s">
        <v>61</v>
      </c>
      <c r="G51" s="55"/>
      <c r="H51" s="55"/>
      <c r="I51" s="12"/>
      <c r="J51" s="12"/>
      <c r="K51" s="12"/>
      <c r="L51" s="12"/>
      <c r="M51" s="1"/>
      <c r="N51" s="1"/>
      <c r="O51" s="1"/>
      <c r="P51" s="34"/>
      <c r="Q51" s="3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>
      <c r="A52" s="1"/>
      <c r="B52" s="34"/>
      <c r="C52" s="32"/>
      <c r="D52" s="12"/>
      <c r="E52" s="12"/>
      <c r="F52" s="12"/>
      <c r="G52" s="12"/>
      <c r="H52" s="12"/>
      <c r="I52" s="12"/>
      <c r="J52" s="12"/>
      <c r="K52" s="12"/>
      <c r="L52" s="12"/>
      <c r="M52" s="1"/>
      <c r="N52" s="1"/>
      <c r="O52" s="1"/>
      <c r="P52" s="34"/>
      <c r="Q52" s="34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>
      <c r="A53" s="1"/>
      <c r="B53" s="34"/>
      <c r="C53" s="32"/>
      <c r="D53" s="12"/>
      <c r="E53" s="12"/>
      <c r="F53" s="12"/>
      <c r="G53" s="12"/>
      <c r="H53" s="12"/>
      <c r="I53" s="12"/>
      <c r="J53" s="12"/>
      <c r="K53" s="12"/>
      <c r="L53" s="12"/>
      <c r="M53" s="1"/>
      <c r="N53" s="1"/>
      <c r="O53" s="1"/>
      <c r="P53" s="34"/>
      <c r="Q53" s="34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>
      <c r="A54" s="1"/>
      <c r="B54" s="34"/>
      <c r="C54" s="32"/>
      <c r="D54" s="12"/>
      <c r="E54" s="12"/>
      <c r="F54" s="55" t="s">
        <v>67</v>
      </c>
      <c r="G54" s="55"/>
      <c r="H54" s="55"/>
      <c r="I54" s="12"/>
      <c r="J54" s="12"/>
      <c r="K54" s="12"/>
      <c r="L54" s="12"/>
      <c r="M54" s="1"/>
      <c r="N54" s="1"/>
      <c r="O54" s="1"/>
      <c r="P54" s="34"/>
      <c r="Q54" s="34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>
      <c r="A55" s="1"/>
      <c r="B55" s="34"/>
      <c r="C55" s="3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34"/>
      <c r="Q55" s="34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>
      <c r="A56" s="1"/>
      <c r="B56" s="34"/>
      <c r="C56" s="3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34"/>
      <c r="Q56" s="34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>
      <c r="A57" s="1"/>
      <c r="B57" s="34"/>
      <c r="C57" s="3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34"/>
      <c r="Q57" s="34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>
      <c r="A58" s="1"/>
      <c r="B58" s="31"/>
      <c r="C58" s="31"/>
      <c r="D58" s="1"/>
      <c r="E58" s="31"/>
      <c r="F58" s="31"/>
      <c r="G58" s="1"/>
      <c r="H58" s="1"/>
      <c r="I58" s="1"/>
      <c r="J58" s="1"/>
      <c r="K58" s="1"/>
      <c r="L58" s="1"/>
      <c r="M58" s="1"/>
      <c r="N58" s="1"/>
      <c r="O58" s="1"/>
      <c r="P58" s="34"/>
      <c r="Q58" s="31"/>
      <c r="R58" s="1"/>
      <c r="S58" s="31"/>
      <c r="T58" s="31"/>
      <c r="U58" s="1"/>
      <c r="V58" s="1"/>
      <c r="W58" s="1"/>
      <c r="X58" s="1"/>
      <c r="Y58" s="1"/>
      <c r="Z58" s="1"/>
      <c r="AA58" s="1"/>
      <c r="AB58" s="1"/>
    </row>
    <row r="59" spans="1:28" ht="15.75" customHeight="1">
      <c r="A59" s="1"/>
      <c r="B59" s="30"/>
      <c r="C59" s="3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46"/>
      <c r="Q59" s="30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>
      <c r="A60" s="1"/>
      <c r="B60" s="30"/>
      <c r="C60" s="3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46"/>
      <c r="Q60" s="30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>
      <c r="A63" s="1"/>
      <c r="B63" s="35"/>
      <c r="C63" s="35"/>
      <c r="D63" s="35"/>
      <c r="E63" s="35"/>
      <c r="F63" s="1"/>
      <c r="G63" s="1"/>
      <c r="H63" s="1"/>
      <c r="I63" s="1"/>
      <c r="J63" s="1"/>
      <c r="K63" s="1"/>
      <c r="L63" s="1"/>
      <c r="M63" s="1"/>
      <c r="N63" s="1"/>
      <c r="O63" s="1"/>
      <c r="P63" s="35"/>
      <c r="Q63" s="35"/>
      <c r="R63" s="35"/>
      <c r="S63" s="35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>
      <c r="A64" s="1"/>
      <c r="B64" s="35"/>
      <c r="C64" s="35"/>
      <c r="D64" s="36"/>
      <c r="E64" s="36"/>
      <c r="F64" s="1"/>
      <c r="G64" s="1"/>
      <c r="H64" s="1"/>
      <c r="I64" s="1"/>
      <c r="J64" s="1"/>
      <c r="K64" s="1"/>
      <c r="L64" s="1"/>
      <c r="M64" s="1"/>
      <c r="N64" s="1"/>
      <c r="O64" s="1"/>
      <c r="P64" s="35"/>
      <c r="Q64" s="35"/>
      <c r="R64" s="36"/>
      <c r="S64" s="36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>
      <c r="A65" s="1"/>
      <c r="B65" s="36"/>
      <c r="C65" s="36"/>
      <c r="D65" s="36"/>
      <c r="E65" s="36"/>
      <c r="F65" s="1"/>
      <c r="G65" s="1"/>
      <c r="H65" s="1"/>
      <c r="I65" s="1"/>
      <c r="J65" s="1"/>
      <c r="K65" s="1"/>
      <c r="L65" s="1"/>
      <c r="M65" s="1"/>
      <c r="N65" s="1"/>
      <c r="O65" s="1"/>
      <c r="P65" s="36"/>
      <c r="Q65" s="36"/>
      <c r="R65" s="36"/>
      <c r="S65" s="36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>
      <c r="A66" s="1"/>
      <c r="B66" s="54"/>
      <c r="C66" s="5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54"/>
      <c r="Q66" s="54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37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37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37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37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37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37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37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37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37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37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37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37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37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37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37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37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37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37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37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37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37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37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37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37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37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37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37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37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37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37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37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37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37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37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37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37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37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37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37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37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37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37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37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37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37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37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37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37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37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37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37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37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37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37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37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37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37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37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37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37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37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37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37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37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37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37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37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37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37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37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37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37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37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37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37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37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37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37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37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37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37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37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37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37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37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37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37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37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37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37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37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37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37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37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37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37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37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37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37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37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37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37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37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37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37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37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37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37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37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37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37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37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37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37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37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37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37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37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37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37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37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37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37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37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37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37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37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37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37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37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37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37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7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37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37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37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37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37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37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37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37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37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37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37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37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37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37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37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37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37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37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37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37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37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37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37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37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37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37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37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37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37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37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37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37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37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37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37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37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37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37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37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37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37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37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37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37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37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37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37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37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37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37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37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37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37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37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37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/>
    <row r="256" spans="1:2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66">
    <mergeCell ref="B4:M4"/>
    <mergeCell ref="P4:AA4"/>
    <mergeCell ref="B5:M5"/>
    <mergeCell ref="P5:AA5"/>
    <mergeCell ref="Q7:S7"/>
    <mergeCell ref="Q8:S8"/>
    <mergeCell ref="Q9:S9"/>
    <mergeCell ref="Q10:S10"/>
    <mergeCell ref="Q11:S11"/>
    <mergeCell ref="Q12:S12"/>
    <mergeCell ref="Q13:S13"/>
    <mergeCell ref="B14:C14"/>
    <mergeCell ref="Q14:S14"/>
    <mergeCell ref="Q15:S15"/>
    <mergeCell ref="Q16:S16"/>
    <mergeCell ref="B17:C17"/>
    <mergeCell ref="Q17:S17"/>
    <mergeCell ref="Q18:S18"/>
    <mergeCell ref="Q19:S19"/>
    <mergeCell ref="Q20:S20"/>
    <mergeCell ref="B21:M21"/>
    <mergeCell ref="Q21:S21"/>
    <mergeCell ref="C22:E22"/>
    <mergeCell ref="J22:M22"/>
    <mergeCell ref="Q22:S22"/>
    <mergeCell ref="X22:AA22"/>
    <mergeCell ref="C23:E23"/>
    <mergeCell ref="J23:M23"/>
    <mergeCell ref="Q23:S23"/>
    <mergeCell ref="C24:E24"/>
    <mergeCell ref="J24:M24"/>
    <mergeCell ref="Q24:S24"/>
    <mergeCell ref="C25:E25"/>
    <mergeCell ref="J25:M25"/>
    <mergeCell ref="Q25:S25"/>
    <mergeCell ref="C26:E26"/>
    <mergeCell ref="J26:M26"/>
    <mergeCell ref="Q26:S26"/>
    <mergeCell ref="C27:E27"/>
    <mergeCell ref="J27:M27"/>
    <mergeCell ref="Q27:S27"/>
    <mergeCell ref="C28:E28"/>
    <mergeCell ref="J28:M28"/>
    <mergeCell ref="C29:E29"/>
    <mergeCell ref="J29:M29"/>
    <mergeCell ref="C30:E30"/>
    <mergeCell ref="J30:M30"/>
    <mergeCell ref="J31:M31"/>
    <mergeCell ref="J32:M32"/>
    <mergeCell ref="J33:M33"/>
    <mergeCell ref="J34:M34"/>
    <mergeCell ref="J35:M35"/>
    <mergeCell ref="J36:M36"/>
    <mergeCell ref="C37:E37"/>
    <mergeCell ref="J37:M37"/>
    <mergeCell ref="B41:M41"/>
    <mergeCell ref="C45:E45"/>
    <mergeCell ref="H45:M45"/>
    <mergeCell ref="F51:H51"/>
    <mergeCell ref="F54:H54"/>
    <mergeCell ref="B39:M40"/>
    <mergeCell ref="C46:E46"/>
    <mergeCell ref="H46:M46"/>
    <mergeCell ref="C49:E49"/>
    <mergeCell ref="H49:M49"/>
    <mergeCell ref="F50:H50"/>
  </mergeCells>
  <pageMargins left="0.70833333333333304" right="0.70833333333333304" top="0.74791666666666701" bottom="0.74791666666666701" header="0" footer="0"/>
  <pageSetup scale="82" orientation="portrait" r:id="rId1"/>
  <headerFooter>
    <oddFooter>&amp;LLogistik UPT Manado-2026</oddFooter>
  </headerFooter>
  <colBreaks count="1" manualBreakCount="1">
    <brk id="15" max="5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31 Desember 2025 </vt:lpstr>
      <vt:lpstr>23 Januari 2026</vt:lpstr>
      <vt:lpstr>'23 Januari 2026'!Print_Area</vt:lpstr>
      <vt:lpstr>'31 Desember 2025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Wayan Hady</dc:creator>
  <cp:lastModifiedBy>felix slm</cp:lastModifiedBy>
  <dcterms:created xsi:type="dcterms:W3CDTF">2024-02-13T06:03:00Z</dcterms:created>
  <dcterms:modified xsi:type="dcterms:W3CDTF">2026-01-28T07:56:56Z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513FAE6694374999AE2637F49E4E4B5E_12</vt:lpwstr>
  </property>
  <property fmtid="{D5CDD505-2E9C-101B-9397-08002B2CF9AE}" pid="3" name="KSOProductBuildVer">
    <vt:lpwstr>1033-12.2.0.23196</vt:lpwstr>
  </property>
</Properties>
</file>